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Guide" sheetId="2" r:id="rId2"/>
    <sheet name="Inputs" sheetId="3" r:id="rId3"/>
    <sheet name="FS_Hist" sheetId="4" r:id="rId4"/>
    <sheet name="Forecast" sheetId="5" r:id="rId5"/>
    <sheet name="WACC" sheetId="6" r:id="rId6"/>
    <sheet name="DCF" sheetId="7" r:id="rId7"/>
    <sheet name="Bridge" sheetId="8" r:id="rId8"/>
    <sheet name="Peers" sheetId="9" r:id="rId9"/>
    <sheet name="Premium" sheetId="10" r:id="rId10"/>
    <sheet name="Scenarios" sheetId="11" r:id="rId11"/>
    <sheet name="Scen_Calc" sheetId="12" r:id="rId12"/>
    <sheet name="Football" sheetId="13" r:id="rId13"/>
    <sheet name="Convergence" sheetId="14" r:id="rId14"/>
    <sheet name="Checks" sheetId="15" r:id="rId15"/>
    <sheet name="Diagnostics" sheetId="16" r:id="rId16"/>
    <sheet name="Judgements" sheetId="17" r:id="rId17"/>
  </sheets>
  <definedNames>
    <definedName name="AssocBook">Inputs!$F$161:$F$161</definedName>
    <definedName name="AssocClose">Inputs!$E$161:$E$161</definedName>
    <definedName name="AssocDiscount">Inputs!$H$159</definedName>
    <definedName name="AssocLines">Bridge!$C$17</definedName>
    <definedName name="AssocReplaced">Bridge!$C$19</definedName>
    <definedName name="AssocShares">Inputs!$D$161:$D$161</definedName>
    <definedName name="AssocValue">Bridge!$C$18</definedName>
    <definedName name="BetaL">WACC!$C$16</definedName>
    <definedName name="BetaPubN">Inputs!$B$130</definedName>
    <definedName name="BetaPubR2">Inputs!$B$132</definedName>
    <definedName name="BetaPubU">Inputs!$B$131</definedName>
    <definedName name="BetaR2Median">WACC!$C$7</definedName>
    <definedName name="BetaR2Warn">Inputs!$B$37</definedName>
    <definedName name="BetaU">WACC!$C$6</definedName>
    <definedName name="BetaWarn">WACC!$C$8</definedName>
    <definedName name="Block_q1">Premium!$C$23</definedName>
    <definedName name="Block_q2">Premium!$C$24</definedName>
    <definedName name="Block_q3">Premium!$C$25</definedName>
    <definedName name="BlumeC">Inputs!$B$32</definedName>
    <definedName name="BlumeW">Inputs!$B$31</definedName>
    <definedName name="BorrowAmt">Inputs!$C$125:$C$125</definedName>
    <definedName name="BorrowRate">Inputs!$B$125:$B$125</definedName>
    <definedName name="BridgeAdj">Bridge!$C$22</definedName>
    <definedName name="BsAmt">FS_Hist!$D$33:$D$37</definedName>
    <definedName name="BsClass">FS_Hist!$C$33:$C$37</definedName>
    <definedName name="BsName">FS_Hist!$A$33:$A$37</definedName>
    <definedName name="CAGR">Forecast!$C$24</definedName>
    <definedName name="CapexRatio">Forecast!$F$15</definedName>
    <definedName name="CfStart">Inputs!$B$14</definedName>
    <definedName name="CheckTable">Checks!$B$6:$F$74</definedName>
    <definedName name="ClipHi">Inputs!$B$64</definedName>
    <definedName name="ClipLo">Inputs!$B$63</definedName>
    <definedName name="Close">Inputs!$B$44</definedName>
    <definedName name="COGSR">Forecast!$F$16</definedName>
    <definedName name="CommonIssued">Inputs!$B$40</definedName>
    <definedName name="CommonTreasury">Inputs!$B$41</definedName>
    <definedName name="ConvEngine">Convergence!$A$7:$F$8</definedName>
    <definedName name="ConvLive">Convergence!$A$13:$F$14</definedName>
    <definedName name="ConvShare">Inputs!$B$61</definedName>
    <definedName name="DaysYr">Inputs!$B$15</definedName>
    <definedName name="DE_Target">Inputs!$B$33</definedName>
    <definedName name="DiagCandTable">Diagnostics!$A$58:$D$60</definedName>
    <definedName name="DiagCompTable">Diagnostics!$A$37:$C$44</definedName>
    <definedName name="DiagDcf">Diagnostics!$B$5</definedName>
    <definedName name="DiagDcfEngine">Diagnostics!$B$6</definedName>
    <definedName name="DiagDnaTable">Diagnostics!$A$133:$D$139</definedName>
    <definedName name="DiagFlagTable">Diagnostics!$A$48:$C$54</definedName>
    <definedName name="DiagGuardTable">Diagnostics!$A$120:$B$120</definedName>
    <definedName name="DiagHeadline">Diagnostics!$B$120</definedName>
    <definedName name="DiagLight">Diagnostics!$B$23</definedName>
    <definedName name="DiagLightCheck">Diagnostics!$B$25</definedName>
    <definedName name="DiagLightEngine">Diagnostics!$B$24</definedName>
    <definedName name="DiagLightMkt">Diagnostics!$B$22</definedName>
    <definedName name="DiagLightPeer">Diagnostics!$B$21</definedName>
    <definedName name="DiagMistagTable">Diagnostics!$A$161:$D$161</definedName>
    <definedName name="DiagMktRatio">Diagnostics!$B$14</definedName>
    <definedName name="DiagOtherTable">Diagnostics!$B$93:$D$117</definedName>
    <definedName name="DiagPeerBasis">Diagnostics!$B$7</definedName>
    <definedName name="DiagPeerMed">Diagnostics!$B$9</definedName>
    <definedName name="DiagPeerN">Diagnostics!$B$11</definedName>
    <definedName name="DiagPeerValid">Diagnostics!$B$12</definedName>
    <definedName name="DiagPrice">Diagnostics!$B$13</definedName>
    <definedName name="DiagQ25">Diagnostics!$B$8</definedName>
    <definedName name="DiagQ75">Diagnostics!$B$10</definedName>
    <definedName name="DiagRankTable">Diagnostics!$A$72:$G$90</definedName>
    <definedName name="DiagRevTable">Diagnostics!$A$29:$D$33</definedName>
    <definedName name="DiagSensTable">Diagnostics!$A$64:$D$68</definedName>
    <definedName name="DiagSotpDisc30">Diagnostics!$B$149</definedName>
    <definedName name="DiagSotpDisc50">Diagnostics!$B$150</definedName>
    <definedName name="DiagSotpEquity">Diagnostics!$B$146</definedName>
    <definedName name="DiagSotpGuard">Diagnostics!$B$157</definedName>
    <definedName name="DiagSotpListed">Diagnostics!$B$143</definedName>
    <definedName name="DiagSotpListedShare">Diagnostics!$B$147</definedName>
    <definedName name="DiagSotpParentEV">Diagnostics!$B$142</definedName>
    <definedName name="DiagSotpParentShare">Diagnostics!$B$148</definedName>
    <definedName name="DiagSotpSubLines">Diagnostics!$B$145</definedName>
    <definedName name="DiagSotpTable">Diagnostics!$A$142:$B$150</definedName>
    <definedName name="DiagSotpUnlisted">Diagnostics!$B$144</definedName>
    <definedName name="DiagThMGHi">Diagnostics!$B$18</definedName>
    <definedName name="DiagThMGLo">Diagnostics!$B$17</definedName>
    <definedName name="DiagThMYHi">Diagnostics!$B$20</definedName>
    <definedName name="DiagThMYLo">Diagnostics!$B$19</definedName>
    <definedName name="DiagThPHi">Diagnostics!$B$16</definedName>
    <definedName name="DiagThPLo">Diagnostics!$B$15</definedName>
    <definedName name="DiagTop5Share">Diagnostics!$G$91</definedName>
    <definedName name="DiagTurnLtm">Diagnostics!$B$154</definedName>
    <definedName name="DiagTurnM0">Diagnostics!$B$155</definedName>
    <definedName name="DiagTurnPS">Diagnostics!$B$156</definedName>
    <definedName name="DiagV1Light">Diagnostics!$B$129</definedName>
    <definedName name="DiagV1PS">Diagnostics!$B$124</definedName>
    <definedName name="DiagV2Conv">Diagnostics!$B$127</definedName>
    <definedName name="DiagV2G0">Diagnostics!$B$128</definedName>
    <definedName name="DiagV2M0">Diagnostics!$B$125</definedName>
    <definedName name="DiagV2PM">Diagnostics!$B$126</definedName>
    <definedName name="DiagV2PS">Diagnostics!$B$123</definedName>
    <definedName name="DIO">Forecast!$F$18</definedName>
    <definedName name="DiscDate">Inputs!$B$13</definedName>
    <definedName name="DnaH1Hi">Inputs!$B$54</definedName>
    <definedName name="DnaH1Lo">Inputs!$B$53</definedName>
    <definedName name="DnaRatio">Forecast!$F$14</definedName>
    <definedName name="DnaRatioHi">Inputs!$B$56</definedName>
    <definedName name="DnaRatioLo">Inputs!$B$55</definedName>
    <definedName name="DPO">Forecast!$F$19</definedName>
    <definedName name="DSO">Forecast!$F$17</definedName>
    <definedName name="DT_C">Scenarios!$B$89:$F$93</definedName>
    <definedName name="DT_C_Left">Scenarios!$A$89:$A$93</definedName>
    <definedName name="DT_C_Top">Scenarios!$B$88:$F$88</definedName>
    <definedName name="DT_D">Scenarios!$B$98:$F$102</definedName>
    <definedName name="DT_D_Left">Scenarios!$A$98:$A$102</definedName>
    <definedName name="DT_D_Top">Scenarios!$B$97:$F$97</definedName>
    <definedName name="DT_G">Scenarios!$B$121:$E$122</definedName>
    <definedName name="DT_G_Left">Scenarios!$A$121:$A$122</definedName>
    <definedName name="DT_G_Top">Scenarios!$B$120:$E$120</definedName>
    <definedName name="DT_M">Scenarios!$B$107:$D$109</definedName>
    <definedName name="DT_M_Left">Scenarios!$A$107:$A$109</definedName>
    <definedName name="DT_M_Top">Scenarios!$B$106:$D$106</definedName>
    <definedName name="EbitEnd">WACC!$C$18</definedName>
    <definedName name="EqAddOn">Bridge!$C$23</definedName>
    <definedName name="Equity">Bridge!$C$21</definedName>
    <definedName name="EV_630">DCF!$C$38</definedName>
    <definedName name="EV_930">DCF!$C$40</definedName>
    <definedName name="EVExit_930">DCF!$C$51</definedName>
    <definedName name="ExitMult">DCF!$C$47</definedName>
    <definedName name="ExplicitEnd">Inputs!$B$18</definedName>
    <definedName name="FadeTo">Inputs!$B$52</definedName>
    <definedName name="FadeYears">Inputs!$B$19</definedName>
    <definedName name="FootballTable">Football!$A$5:$E$13</definedName>
    <definedName name="G0_Sel">Forecast!$F$41</definedName>
    <definedName name="G0Base">Forecast!$C$35</definedName>
    <definedName name="GEff">Forecast!$C$45</definedName>
    <definedName name="GLast_Sel">Forecast!$F$43</definedName>
    <definedName name="GOvr">Scenarios!$E$82</definedName>
    <definedName name="GrowthGapMin">Inputs!$B$69</definedName>
    <definedName name="GrowthShiftOvr">Scenarios!$E$83</definedName>
    <definedName name="GTerm_Sel">Forecast!$C$44</definedName>
    <definedName name="GTermCfg">Inputs!$B$51</definedName>
    <definedName name="H1Op">Forecast!$C$27</definedName>
    <definedName name="H1Rev">Forecast!$C$26</definedName>
    <definedName name="HistMargin">Forecast!$F$13</definedName>
    <definedName name="ImpliedG_Exit">DCF!$C$53</definedName>
    <definedName name="ImpliedMultiple">DCF!$C$46</definedName>
    <definedName name="JudgeTable">Judgements!$A$5:$H$5</definedName>
    <definedName name="Kd_AA">Inputs!$B$36</definedName>
    <definedName name="Kd_Actual">WACC!$C$20</definedName>
    <definedName name="Kd_AT">WACC!$C$24</definedName>
    <definedName name="Kd_BBB">Inputs!$B$35</definedName>
    <definedName name="Kd_Pre">WACC!$C$23</definedName>
    <definedName name="KdActualUse">WACC!$E$20</definedName>
    <definedName name="KdUse">WACC!$E$24</definedName>
    <definedName name="Ke">WACC!$C$17</definedName>
    <definedName name="ListedSub">Inputs!$B$48</definedName>
    <definedName name="M0V2">Forecast!$C$33</definedName>
    <definedName name="Margin_Sel">Forecast!$F$42</definedName>
    <definedName name="MarginConvAmt">Forecast!$C$34</definedName>
    <definedName name="MarginGapMin">Inputs!$B$68</definedName>
    <definedName name="MarginShiftOvr">Scenarios!$B$83</definedName>
    <definedName name="MarketEquity">Bridge!$C$32</definedName>
    <definedName name="MasterCheck">Checks!$C$3</definedName>
    <definedName name="MidYear">Inputs!$B$17</definedName>
    <definedName name="MnToWon">Inputs!$B$16</definedName>
    <definedName name="MRP">Inputs!$B$25</definedName>
    <definedName name="MRP_Eff">WACC!$C$12</definedName>
    <definedName name="MrpOvr">Scenarios!$E$84</definedName>
    <definedName name="NavPerShare">Bridge!$C$29</definedName>
    <definedName name="NciShareMin">Inputs!$B$67</definedName>
    <definedName name="NetDebt">Bridge!$C$8</definedName>
    <definedName name="NWC_Open">Forecast!$C$25</definedName>
    <definedName name="P5bAchTable">Forecast!$F$75:$K$80</definedName>
    <definedName name="P5bCagrTable">Forecast!$F$86:$O$89</definedName>
    <definedName name="PeerEvEbitdaMed">Peers!$E$15</definedName>
    <definedName name="PeerGrowthV2">Inputs!$B$60</definedName>
    <definedName name="PeerMarginV2">Inputs!$B$59</definedName>
    <definedName name="PeerNWarn">Inputs!$B$92</definedName>
    <definedName name="PeerSummary">Peers!$A$15:$K$19</definedName>
    <definedName name="PerShare">Bridge!$C$25</definedName>
    <definedName name="PerShareExit">Bridge!$C$28</definedName>
    <definedName name="PlanBand">Forecast!$J$93</definedName>
    <definedName name="PlanBandH1">Forecast!$J$94</definedName>
    <definedName name="PlanBandH2">Forecast!$K$94</definedName>
    <definedName name="PlanBandH3">Forecast!$L$94</definedName>
    <definedName name="PlanBandRange">Forecast!$K$93</definedName>
    <definedName name="PlanCheck">Forecast!$A$74:$C$80</definedName>
    <definedName name="PlanFcCAGR5">Forecast!$J$92</definedName>
    <definedName name="PlanFcCAGR">Forecast!$C$76</definedName>
    <definedName name="PlanG26">Forecast!$C$75</definedName>
    <definedName name="PlanGapCAGR">Forecast!$C$77</definedName>
    <definedName name="PlanGapMargin">Forecast!$C$80</definedName>
    <definedName name="PlanHistCAGR">Forecast!$C$74</definedName>
    <definedName name="PlanHistMargin">Forecast!$C$78</definedName>
    <definedName name="PlanMargin">Forecast!$C$79</definedName>
    <definedName name="PrefIssued">Inputs!$B$42</definedName>
    <definedName name="PrefTreasury">Inputs!$B$43</definedName>
    <definedName name="Prem_BAN_n">Inputs!$B$89</definedName>
    <definedName name="Prem_BAN_q25">Inputs!$B$86</definedName>
    <definedName name="Prem_BAN_q50">Inputs!$B$87</definedName>
    <definedName name="Prem_BAN_q75">Inputs!$B$88</definedName>
    <definedName name="Prem_CV">Inputs!$B$75</definedName>
    <definedName name="Prem_GapWarn">Inputs!$B$78</definedName>
    <definedName name="Prem_Market">Inputs!$B$74</definedName>
    <definedName name="Prem_NB_n">Inputs!$B$85</definedName>
    <definedName name="Prem_NEI_q25">Inputs!$B$79</definedName>
    <definedName name="Prem_NEI_q50">Inputs!$B$80</definedName>
    <definedName name="Prem_NEI_q75">Inputs!$B$81</definedName>
    <definedName name="Prem_Pct">Inputs!$B$72</definedName>
    <definedName name="Prem_REG_q25">Inputs!$B$82</definedName>
    <definedName name="Prem_REG_q50">Inputs!$B$83</definedName>
    <definedName name="Prem_REG_q75">Inputs!$B$84</definedName>
    <definedName name="Prem_Thr">Inputs!$B$76</definedName>
    <definedName name="Prem_TopBand">Inputs!$B$77</definedName>
    <definedName name="PremMethod">Premium!$C$10</definedName>
    <definedName name="PremN">Premium!$F$18</definedName>
    <definedName name="PremNWarn">Inputs!$B$93</definedName>
    <definedName name="PremPctFixed">Inputs!$B$73</definedName>
    <definedName name="PremQ1">Premium!$C$18</definedName>
    <definedName name="PremQ2">Premium!$D$18</definedName>
    <definedName name="PremQ3">Premium!$E$18</definedName>
    <definedName name="PremReason">Premium!$C$11</definedName>
    <definedName name="PretaxLTM">Forecast!$C$29</definedName>
    <definedName name="Rating">Inputs!$B$34</definedName>
    <definedName name="RatingIdx">WACC!$C$21</definedName>
    <definedName name="RatingScale">Inputs!$B$106:$B$116</definedName>
    <definedName name="ReverseTable">Scenarios!$A$113:$B$115</definedName>
    <definedName name="RevFY_Last">Forecast!$C$28</definedName>
    <definedName name="Rf10Diff">Scenarios!$B$136:$D$138</definedName>
    <definedName name="Rf10GridPS">Scenarios!$B$126:$D$128</definedName>
    <definedName name="Rf10GridWACC">Scenarios!$B$131:$D$133</definedName>
    <definedName name="Rf">WACC!$C$11</definedName>
    <definedName name="Rf_10Y">Inputs!$B$24</definedName>
    <definedName name="Rf_5Y">Inputs!$B$23</definedName>
    <definedName name="RfOvr">Scenarios!$B$118</definedName>
    <definedName name="RfTenor">Inputs!$B$8</definedName>
    <definedName name="RONIC">DCF!$C$24</definedName>
    <definedName name="RonicCap">Forecast!$F$22</definedName>
    <definedName name="RonicStart">Inputs!$B$9</definedName>
    <definedName name="ScenDiff">Scenarios!$B$77:$D$79</definedName>
    <definedName name="ScenGridPS">Scenarios!$B$6:$D$8</definedName>
    <definedName name="ScenGridTV">Scenarios!$B$24:$D$26</definedName>
    <definedName name="ScenGridWACC">Scenarios!$B$12:$D$14</definedName>
    <definedName name="ScenIdx">Forecast!$B$38</definedName>
    <definedName name="ScenNames">Inputs!$B$119:$D$119</definedName>
    <definedName name="ScenSel">Inputs!$B$6</definedName>
    <definedName name="ScenSelPS">Scenarios!$C$28</definedName>
    <definedName name="SegGrowthGap">Inputs!$B$58</definedName>
    <definedName name="SegMarginGap">Inputs!$B$57</definedName>
    <definedName name="Shares">Bridge!$C$24</definedName>
    <definedName name="SotpBook">Bridge!$C$12</definedName>
    <definedName name="SotpListed">Bridge!$C$14</definedName>
    <definedName name="SotpRemainder">Bridge!$C$13</definedName>
    <definedName name="SotpSubLines">Bridge!$C$11</definedName>
    <definedName name="SotpUnlisted">Bridge!$C$16</definedName>
    <definedName name="SRP_1">Inputs!$B$26</definedName>
    <definedName name="SRP_2">Inputs!$B$27</definedName>
    <definedName name="SRP_3">Inputs!$B$28</definedName>
    <definedName name="SRP_Cite">Inputs!$B$29</definedName>
    <definedName name="SRP_Eff">WACC!$C$13</definedName>
    <definedName name="SRP_List">Inputs!$B$26:$B$28</definedName>
    <definedName name="SRP_Sel">Inputs!$B$7</definedName>
    <definedName name="SrpCiteTable">Inputs!$I$26:$M$39</definedName>
    <definedName name="SrpOvr">Scenarios!$B$84</definedName>
    <definedName name="Stake">Inputs!$B$47</definedName>
    <definedName name="StructureChoice">Inputs!$B$20</definedName>
    <definedName name="StructureRule">Bridge!$C$37</definedName>
    <definedName name="SubBook">Inputs!$G$154:$G$156</definedName>
    <definedName name="SubClose">Inputs!$F$154:$F$156</definedName>
    <definedName name="SubDiscount">Inputs!$H$152</definedName>
    <definedName name="SubListedDirect">Inputs!$D$154:$D$156</definedName>
    <definedName name="SubMC">Inputs!$B$46</definedName>
    <definedName name="SubShares">Inputs!$E$154:$E$156</definedName>
    <definedName name="SubUnlisted">Inputs!$H$154:$H$156</definedName>
    <definedName name="T_Hamada">Inputs!$B$30</definedName>
    <definedName name="T_Kd">WACC!$C$19</definedName>
    <definedName name="TargetMC">Inputs!$B$45</definedName>
    <definedName name="TaxDRate">Forecast!$F$6:$F$9</definedName>
    <definedName name="TaxFrom">Inputs!$B$98:$B$101</definedName>
    <definedName name="TaxPrem">Inputs!$B$91</definedName>
    <definedName name="TaxRate">Inputs!$D$98:$D$101</definedName>
    <definedName name="TaxTo">Inputs!$C$98:$C$101</definedName>
    <definedName name="TV_Gordon">DCF!$C$34</definedName>
    <definedName name="TVCross">DCF!$A$57:$F$58</definedName>
    <definedName name="TVShare">DCF!$C$41</definedName>
    <definedName name="TVShare_Exit">DCF!$C$52</definedName>
    <definedName name="ValDate">Inputs!$B$12</definedName>
    <definedName name="VWAP20">Inputs!$B$90</definedName>
    <definedName name="WACC">WACC!$C$27</definedName>
    <definedName name="WaccCalc">WACC!$C$26</definedName>
    <definedName name="WaccOvr">Scenarios!$B$82</definedName>
    <definedName name="WD">WACC!$C$25</definedName>
    <definedName name="WOwn">Inputs!$B$62</definedName>
  </definedNames>
  <calcPr calcId="124519" fullCalcOnLoad="1"/>
</workbook>
</file>

<file path=xl/sharedStrings.xml><?xml version="1.0" encoding="utf-8"?>
<sst xmlns="http://schemas.openxmlformats.org/spreadsheetml/2006/main" count="2376" uniqueCount="1266">
  <si>
    <t>Inputs — 입력값 (파란 글씨·노란 바탕 칸만 바꾼다)</t>
  </si>
  <si>
    <t>단위: 백만원(주당 값은 원). 출처 열: DART 접수번호·ECOS 코드·config 경로. 상태: ✅ 1차 출처·독립 확인 / 🔸 단일 출처·직접 계산 / ⚠️ 미확인·프로젝트 가정</t>
  </si>
  <si>
    <t>항목</t>
  </si>
  <si>
    <t>값</t>
  </si>
  <si>
    <t>단위</t>
  </si>
  <si>
    <t>출처</t>
  </si>
  <si>
    <t>기준일</t>
  </si>
  <si>
    <t>상태</t>
  </si>
  <si>
    <t>근거·비고</t>
  </si>
  <si>
    <t>1. 선택 (모델 실행)</t>
  </si>
  <si>
    <t>시나리오 선택</t>
  </si>
  <si>
    <t>기본</t>
  </si>
  <si>
    <t>공개 배포 작업 공간/sessions/035610_20260930_001/v1_public/valuation_035610_035610_20260930_001v1p.yaml excel.default_scenario</t>
  </si>
  <si>
    <t>🔸</t>
  </si>
  <si>
    <t>목록: 비관/기본/낙관</t>
  </si>
  <si>
    <t>SRP 선택(규모위험프리미엄)</t>
  </si>
  <si>
    <t>%</t>
  </si>
  <si>
    <t>config/valuation_rf.yaml decisions.srp_columns (D4)</t>
  </si>
  <si>
    <t>⚠️</t>
  </si>
  <si>
    <t>목록: SRP 열 세 값. 한공회 구간 표 미확보 → 세 열 병기</t>
  </si>
  <si>
    <t>Rf 만기 선택(5 = 국고채 5년, 10 = 국고채 10년)</t>
  </si>
  <si>
    <t>년</t>
  </si>
  <si>
    <t>config/valuation_rf.yaml risk_free.tenor</t>
  </si>
  <si>
    <t>기본 5년(P3 공통 장부, 사전 고정 결과 그대로). 10년 = 선택: P5-B 의견서 Rf 만기 표시 57건 중 10년 56건(reports/p5b_final.md 7절) → 10년을 선택 칸으로 추가. 기본 5년 불변</t>
  </si>
  <si>
    <t>RONIC 출발점 규칙</t>
  </si>
  <si>
    <t>normal</t>
  </si>
  <si>
    <t>config/valuation_rules.yaml common_rules.ronic</t>
  </si>
  <si>
    <t>normal = P3-C3 공통 규칙(FY2026 매출 × 정상 이익률) / mixed = P3-B2·C2 방식(1H 실적 + 2H 정상)</t>
  </si>
  <si>
    <t>2. 기준일·기간 구조</t>
  </si>
  <si>
    <t>평가기준일</t>
  </si>
  <si>
    <t>날짜</t>
  </si>
  <si>
    <t>공개 배포 작업 공간/sessions/035610_20260930_001/v1_public/valuation_035610_035610_20260930_001v1p.yaml meta.as_of</t>
  </si>
  <si>
    <t>2026-09-30</t>
  </si>
  <si>
    <t>KRX 시세 마지막 적재 거래일</t>
  </si>
  <si>
    <t>할인 기준일(재무상태표일)</t>
  </si>
  <si>
    <t>공개 배포 작업 공간/sessions/035610_20260930_001/v1_public/valuation_035610_035610_20260930_001v1p.yaml meta.bs_date</t>
  </si>
  <si>
    <t>순현금(6/30 재무상태표)과 시작점을 맞춘다. EV는 평가기준일로 이월</t>
  </si>
  <si>
    <t>현금흐름 시작일</t>
  </si>
  <si>
    <t>공개 배포 작업 공간/sessions/035610_20260930_001/v1_public/valuation_035610_035610_20260930_001v1p.yaml meta.bs_date + 1일</t>
  </si>
  <si>
    <t>연 일수</t>
  </si>
  <si>
    <t>일</t>
  </si>
  <si>
    <t>src/valuation/dcf.py DAYS</t>
  </si>
  <si>
    <t>할인 기간·회전일수 계산(윤일 포함 실제 일수 ÷ 365)</t>
  </si>
  <si>
    <t>단위 환산</t>
  </si>
  <si>
    <t>원/백만원</t>
  </si>
  <si>
    <t>주당 가치 = 주식가치(백만원) × 1,000,000 ÷ 주식수</t>
  </si>
  <si>
    <t>mid-year 할인(1=예, 0=기말)</t>
  </si>
  <si>
    <t>공개 배포 작업 공간/sessions/035610_20260930_001/v1_public/valuation_035610_035610_20260930_001v1p.yaml forecast.mid_year</t>
  </si>
  <si>
    <t>명시 기간 마지막 연도(생성 시 고정)</t>
  </si>
  <si>
    <t>연도</t>
  </si>
  <si>
    <t>company_dcf.EXPLICIT_END (P3-B2 구조)</t>
  </si>
  <si>
    <t>열 수가 생성 시 정해진다. 바꾸려면 config 수정 후 재생성(Checks에서 확인)</t>
  </si>
  <si>
    <t>체감 구간 연수(생성 시 고정)</t>
  </si>
  <si>
    <t>p3b2.stages.fade_years</t>
  </si>
  <si>
    <t>g_t = g_2032 − k × (g_2032 − g) / 8</t>
  </si>
  <si>
    <t>평가 구조(사용자 결정·규칙 판정)</t>
  </si>
  <si>
    <t>consolidated</t>
  </si>
  <si>
    <t>공개 배포 작업 공간/sessions/035610_20260930_001/v1_public/valuation_035610_035610_20260930_001v1p.yaml structure (규칙 판정)</t>
  </si>
  <si>
    <t>Bridge 시트의 구조 판단 규칙(valuation_rules.yaml) 결과와 같아야 한다</t>
  </si>
  <si>
    <t>3. 할인율 (공통 장부)</t>
  </si>
  <si>
    <t>무위험이자율 국고채 5년(기본)</t>
  </si>
  <si>
    <t>ECOS 817Y002 010200001 (KTB5Y)</t>
  </si>
  <si>
    <t>✅</t>
  </si>
  <si>
    <t>평가 표본 5년 48%·10년 39%(P3) → 5년 기본. 모델이 쓰는 Rf = WACC 시트 'Rf'(Rf 만기 선택)</t>
  </si>
  <si>
    <t>무위험이자율 국고채 10년(선택)</t>
  </si>
  <si>
    <t>ECOS 817Y002 010210000 (KTB10Y)</t>
  </si>
  <si>
    <t>P5-B 외부평가 의견서 Rf 만기 표시 57건 중 10년 56건(reports/p5b_final.md 7절)</t>
  </si>
  <si>
    <t>시장위험프리미엄 MRP</t>
  </si>
  <si>
    <t>한공회 MRP 가이던스 7~9%(2022 발표·2023 유지), 2026-05 설문 8.167%(CPA뉴스 2026-05-29, 한국세정신문 2026-05-29)</t>
  </si>
  <si>
    <t>2026-05</t>
  </si>
  <si>
    <t>가이던스 7~9% 중앙값</t>
  </si>
  <si>
    <t>SRP 열 1</t>
  </si>
  <si>
    <t>config/valuation_rf.yaml decisions.srp_columns</t>
  </si>
  <si>
    <t>한공회 2026년 1월 기준 규모위험프리미엄 연구(기사 인용). 구간 경계·전체 표 원문 미확보</t>
  </si>
  <si>
    <t>SRP 열 2</t>
  </si>
  <si>
    <t>SRP 열 3</t>
  </si>
  <si>
    <t>SRP 인용 참고값(한공회 Micro, 민감도 전용)</t>
  </si>
  <si>
    <t>DB p5b_srp_cites: 가장 최근 신고서의 같은 구간 인용값(reports/p5b_final.md 8절)</t>
  </si>
  <si>
    <t>20260821</t>
  </si>
  <si>
    <t>의견서 2차 인용 3건(2025~2026 신고서). SRP 기본 열(결정 D4)은 그대로. Scenarios G 표에서만 쓴다</t>
  </si>
  <si>
    <t>참고: 한공회 규모위험 프리미엄 인용값(P5-B 외부평가 의견서 재인용 🔸, 집계)</t>
  </si>
  <si>
    <t>인용 기준 연도</t>
  </si>
  <si>
    <t>구간 이름</t>
  </si>
  <si>
    <t>건수</t>
  </si>
  <si>
    <t>신고서 연도</t>
  </si>
  <si>
    <t>2022</t>
  </si>
  <si>
    <t>3분위</t>
  </si>
  <si>
    <t>2024</t>
  </si>
  <si>
    <t>5분위</t>
  </si>
  <si>
    <t>Micro</t>
  </si>
  <si>
    <t>2023~2024</t>
  </si>
  <si>
    <t>2023</t>
  </si>
  <si>
    <t>(미추출)</t>
  </si>
  <si>
    <t>2025</t>
  </si>
  <si>
    <t>미추출</t>
  </si>
  <si>
    <t>2026</t>
  </si>
  <si>
    <t>2025~2026</t>
  </si>
  <si>
    <t>구간 경계(시가총액)와 대상 회사가 속한 구간은 미확인. 같은 이름도 연구 기준 연도마다 값이 다름. 출처: reports/p5b_final.md (커밋 0a8d7c6), DB p5b_error·p5b_forecast·p5b_srp_cites</t>
  </si>
  <si>
    <t>Hamada 세율(언레버·리레버)</t>
  </si>
  <si>
    <t>공개 배포 작업 공간/sessions/035610_20260930_001/v1_public/valuation_035610_035610_20260930_001v1p.yaml beta.tax</t>
  </si>
  <si>
    <t>피어 대부분의 과세표준 구간 한계세율</t>
  </si>
  <si>
    <t>Blume 가중치(원 β)</t>
  </si>
  <si>
    <t>config/valuation_rules.yaml common_rules.beta.blume</t>
  </si>
  <si>
    <t>Blume = 0.67 × 원 β + 0.33</t>
  </si>
  <si>
    <t>Blume 상수</t>
  </si>
  <si>
    <t>목표 D/E (WACC)</t>
  </si>
  <si>
    <t>배</t>
  </si>
  <si>
    <t>공개 배포 작업 공간/sessions/035610_20260930_001/v1_public/valuation_035610_035610_20260930_001v1p.yaml (공개 모드 집계 입력)</t>
  </si>
  <si>
    <t>자체 D/E 시점 평균(5개 시점, PC에서 계산한 집계값. 시점별 시가총액은 공개 모드에 표시하지 않음)</t>
  </si>
  <si>
    <t>신용등급(빈칸 = 무등급)</t>
  </si>
  <si>
    <t>자동 탐색 안 함(OpenDART 등급 API 없음) — 사람 확인</t>
  </si>
  <si>
    <t>Kd 규칙: 무등급·BBB 이하 → BBB- 3년, AA- 이상 → AA-, A+~BBB+ → max(실제 가중, AA-), 하한 Rf</t>
  </si>
  <si>
    <t>회사채 3년 BBB-</t>
  </si>
  <si>
    <t>ECOS 817Y002 010320000 (CB3Y_BBBm)</t>
  </si>
  <si>
    <t>회사채 3년 AA-</t>
  </si>
  <si>
    <t>ECOS 817Y002 010300000 (CB3Y_AAm)</t>
  </si>
  <si>
    <t>베타 신뢰성 경고 기준(피어 R² 중앙값 미만)</t>
  </si>
  <si>
    <t>common_rules.beta.warn_r2_median_below</t>
  </si>
  <si>
    <t>표시만(경로 불변)</t>
  </si>
  <si>
    <t>4. 주식·시장 (기준일 단일 값)</t>
  </si>
  <si>
    <t>보통주 발행주식수(기준일)</t>
  </si>
  <si>
    <t>주</t>
  </si>
  <si>
    <t>반기보고서 주식의 총수 20260814003092(stockTotqySttus), KRX 기준일 상장 우선주</t>
  </si>
  <si>
    <t>주당가치 = 주식가치 ÷ 보통주 유통주식수(우선주 없음)</t>
  </si>
  <si>
    <t>보통주 자기주식수(기준일)</t>
  </si>
  <si>
    <t>우선주 발행주식수(기준일)</t>
  </si>
  <si>
    <t>우선주 없음</t>
  </si>
  <si>
    <t>우선주 자기주식수(기준일)</t>
  </si>
  <si>
    <t>기준일 종가(보통주)</t>
  </si>
  <si>
    <t>원</t>
  </si>
  <si>
    <t>한국거래소 통계정보</t>
  </si>
  <si>
    <t>기준일 시가총액(대상 보통주)</t>
  </si>
  <si>
    <t>백만원</t>
  </si>
  <si>
    <t>한국거래소 통계정보 (mktcap_fix 보정 적용)</t>
  </si>
  <si>
    <t>시총 백분위에 사용</t>
  </si>
  <si>
    <t>상장 종속회사 시가총액(없음)</t>
  </si>
  <si>
    <t>상장 종속회사 없음</t>
  </si>
  <si>
    <t>구조 판단 수식용 0</t>
  </si>
  <si>
    <t>상장 종속회사 지분율(없음)</t>
  </si>
  <si>
    <t>중요 종속회사 상장 여부(1=예)</t>
  </si>
  <si>
    <t>공개 배포 작업 공간/sessions/035610_20260930_001/v1_public/valuation_035610_035610_20260930_001v1p.yaml structure.listed_subsidiary (otrCprInvstmntSttus)</t>
  </si>
  <si>
    <t>5. 기계적 예측 규칙 (P7-B 자동 초안 규칙)</t>
  </si>
  <si>
    <t>영구성장률 g(사람 값)</t>
  </si>
  <si>
    <t>공개 배포 작업 공간/sessions/035610_20260930_001/v1_public/valuation_035610_035610_20260930_001v1p.yaml forecast.human.g_terminal</t>
  </si>
  <si>
    <t>세 시나리오 같음. 2030년까지 출발 성장률에서 같은 폭으로 체감</t>
  </si>
  <si>
    <t>출발 성장률 → g 도달 연도</t>
  </si>
  <si>
    <t>공개 배포 작업 공간/sessions/035610_20260930_001/v1_public/valuation_035610_035610_20260930_001v1p.yaml params.fade_to_terminal_by</t>
  </si>
  <si>
    <t>2031~2032 = g</t>
  </si>
  <si>
    <t>D&amp;A 반기 ÷ 연간 하한</t>
  </si>
  <si>
    <t>공개 배포 작업 공간/sessions/035610_20260930_001/v1_public/valuation_035610_035610_20260930_001v1p.yaml params.ebitda_rule</t>
  </si>
  <si>
    <t>반기 D&amp;A가 3개월 값으로 보이면 LTM = FY D&amp;A</t>
  </si>
  <si>
    <t>D&amp;A 반기 ÷ 연간 상한</t>
  </si>
  <si>
    <t>D&amp;A ÷ 매출 하한(N/M)</t>
  </si>
  <si>
    <t>D&amp;A ÷ 매출 상한(N/M)</t>
  </si>
  <si>
    <t>부문 이익률 차이(단일 보고부문)</t>
  </si>
  <si>
    <t>%p</t>
  </si>
  <si>
    <t>공개 배포 작업 공간/sessions/035610_20260930_001/v1_public/valuation_035610_035610_20260930_001v1p.yaml structure.segments</t>
  </si>
  <si>
    <t>단일 부문(자동 초안: 부문 미수집)</t>
  </si>
  <si>
    <t>부문 성장률 차이(단일 보고부문)</t>
  </si>
  <si>
    <t>v2 피어 LTM 영업이익률 중앙값(n=5)</t>
  </si>
  <si>
    <t>피어 fs_std LTM(company_dcf.peer_metrics)</t>
  </si>
  <si>
    <t>피어 3곳 미만이면 빈칸(수렴 없음)</t>
  </si>
  <si>
    <t>v2 피어 매출 성장률 중앙값(n=5)</t>
  </si>
  <si>
    <t>피어 fs_std FY2023→2025 CAGR</t>
  </si>
  <si>
    <t>피어 3곳 미만이면 빈칸(대상 CAGR만)</t>
  </si>
  <si>
    <t>v2 수렴 비율(2032년까지 피어 쪽으로 좁히는 몫)</t>
  </si>
  <si>
    <t>config/p7b2b.yaml mechanical_v2</t>
  </si>
  <si>
    <t>사이클 평균 + 경쟁에 따른 평균 회귀(근거 reports/p7b2b_default.md)</t>
  </si>
  <si>
    <t>v2 대상 CAGR 가중치(나머지 = 피어 성장률)</t>
  </si>
  <si>
    <t>기저율 혼합</t>
  </si>
  <si>
    <t>v2 출발 성장률 하한</t>
  </si>
  <si>
    <t>v2 출발 성장률 상한</t>
  </si>
  <si>
    <t>8. 구조 판단 규칙 (config/valuation_rules.yaml structure)</t>
  </si>
  <si>
    <t>비지배지분 ÷ 주식가치 ≥ (SOTP)</t>
  </si>
  <si>
    <t>valuation_rules.yaml structure.nci_share_min</t>
  </si>
  <si>
    <t>비지배지분 시가(상장 종속회사) 우선, 없으면 장부</t>
  </si>
  <si>
    <t>상장 종속회사 + 부문 이익률 차이 ≥</t>
  </si>
  <si>
    <t>valuation_rules.yaml listed_sub_margin_gap_pp</t>
  </si>
  <si>
    <t>상장 종속회사 + 부문 성장률 차이 ≥</t>
  </si>
  <si>
    <t>valuation_rules.yaml listed_sub_growth_gap_pp</t>
  </si>
  <si>
    <t>9. 블록 프리미엄 (프리미엄 DB 집계값만, 거래 목록 없음)</t>
  </si>
  <si>
    <t>기준일 시총 백분위(고정, KOSDAQ 보통주 1,740종목 중)</t>
  </si>
  <si>
    <t>백분위</t>
  </si>
  <si>
    <t>한국거래소 통계정보 → predict.mktcap_percentile, 기준일 값 고정(공개 모드: 입력한 주가로 바뀌지 않음)</t>
  </si>
  <si>
    <t>중간 순위 백분위(0~100). 공개 배포 스냅샷은 소수 첫째 자리</t>
  </si>
  <si>
    <t>시총 백분위 고정 여부(공개 모드)</t>
  </si>
  <si>
    <t>config/p7c3b.yaml percentile</t>
  </si>
  <si>
    <t>1 = 기준일 값 고정</t>
  </si>
  <si>
    <t>시장</t>
  </si>
  <si>
    <t>KOSDAQ</t>
  </si>
  <si>
    <t>공개 배포 작업 공간/sessions/035610_20260930_001/v1_public/valuation_035610_035610_20260930_001v1p.yaml meta.target.market</t>
  </si>
  <si>
    <t>C3 판정: CV q50 손실 개선</t>
  </si>
  <si>
    <t>predict.adoption (사전 등록 5-fold CV)</t>
  </si>
  <si>
    <t>5.15% ≥ 5% → 회귀 채택(D1, 판정 불안정 공개)</t>
  </si>
  <si>
    <t>회귀 채택 기준</t>
  </si>
  <si>
    <t>config/premium_p2c3.yaml</t>
  </si>
  <si>
    <t>D6: KOSDAQ 상위 구간 기준(백분위 이상)</t>
  </si>
  <si>
    <t>config/premium_p2c3.yaml application_rule</t>
  </si>
  <si>
    <t>D6(사용자 2026-10-03)</t>
  </si>
  <si>
    <t>경고: 회귀 vs 이웃 중앙값 차이 &gt;</t>
  </si>
  <si>
    <t>predict.GAP_WARN (사전 등록)</t>
  </si>
  <si>
    <t>이웃 50건 q25</t>
  </si>
  <si>
    <t>predict.premium_range (주 표본 n=510, bu20_doc), 결정 D1·D6</t>
  </si>
  <si>
    <t>이웃 50건 q50</t>
  </si>
  <si>
    <t>이웃 50건 q75</t>
  </si>
  <si>
    <t>분위 회귀(참고) q25</t>
  </si>
  <si>
    <t>분위 회귀(참고) q50</t>
  </si>
  <si>
    <t>분위 회귀(참고) q75</t>
  </si>
  <si>
    <t>이웃 표본 수</t>
  </si>
  <si>
    <t>건</t>
  </si>
  <si>
    <t>같은 시장 우선</t>
  </si>
  <si>
    <t>구간 표 P60-80 q25</t>
  </si>
  <si>
    <t>구간 표 P60-80 q50</t>
  </si>
  <si>
    <t>구간 표 P60-80 q75</t>
  </si>
  <si>
    <t>구간 표 P60-80 표본 수</t>
  </si>
  <si>
    <t>20거래일 VWAP(사용자 입력)</t>
  </si>
  <si>
    <t>사용자 입력 시세</t>
  </si>
  <si>
    <t>공개 모드: 사용자가 넣은 값</t>
  </si>
  <si>
    <t>상증법 최대주주 할증률(비교용)</t>
  </si>
  <si>
    <t>상증법 제63조 제3항(원문 미확인)</t>
  </si>
  <si>
    <t>중소기업·일정 중견기업은 제외 → 해당 여부 미확인</t>
  </si>
  <si>
    <t>피어 배수 표본 수 경고 기준(미만)</t>
  </si>
  <si>
    <t>곳</t>
  </si>
  <si>
    <t>공개 배포 작업 공간/sessions/035610_20260930_001/v1_public/valuation_035610_035610_20260930_001v1p.yaml relative.n_warn</t>
  </si>
  <si>
    <t>N/M(분모 ≤ 0) 제외 후 표본 수</t>
  </si>
  <si>
    <t>프리미엄 표본 수 경고 기준(미만)</t>
  </si>
  <si>
    <t>CLAUDE.md 통계 원칙(n&lt;10 경고)</t>
  </si>
  <si>
    <t>표 1. 법인세 + 지방소득세 누진 구간 (2026~ 사업연도)</t>
  </si>
  <si>
    <t>구간</t>
  </si>
  <si>
    <t>하한(백만원)</t>
  </si>
  <si>
    <t>상한(백만원)</t>
  </si>
  <si>
    <t>세율</t>
  </si>
  <si>
    <t>구간 1</t>
  </si>
  <si>
    <t>법인세법(법률 제21217호, 2025-12-23 공포, 2026-01-01 시행), 지방세법 제103조의20(법률 제21308호)</t>
  </si>
  <si>
    <t>구간 2</t>
  </si>
  <si>
    <t/>
  </si>
  <si>
    <t>구간 3</t>
  </si>
  <si>
    <t>구간 4</t>
  </si>
  <si>
    <t>마지막 구간 상한은 빈칸(상한 없음). 상태 ✅(law.go.kr 개정이유·국회예산정책처)</t>
  </si>
  <si>
    <t>표 2. 신용등급 척도 (Kd 규칙)</t>
  </si>
  <si>
    <t>순서</t>
  </si>
  <si>
    <t>등급</t>
  </si>
  <si>
    <t>1</t>
  </si>
  <si>
    <t>AAA</t>
  </si>
  <si>
    <t>2</t>
  </si>
  <si>
    <t>AA+</t>
  </si>
  <si>
    <t>3</t>
  </si>
  <si>
    <t>AA</t>
  </si>
  <si>
    <t>4</t>
  </si>
  <si>
    <t>AA-</t>
  </si>
  <si>
    <t>5</t>
  </si>
  <si>
    <t>A+</t>
  </si>
  <si>
    <t>6</t>
  </si>
  <si>
    <t>A</t>
  </si>
  <si>
    <t>7</t>
  </si>
  <si>
    <t>A-</t>
  </si>
  <si>
    <t>8</t>
  </si>
  <si>
    <t>BBB+</t>
  </si>
  <si>
    <t>9</t>
  </si>
  <si>
    <t>BBB</t>
  </si>
  <si>
    <t>10</t>
  </si>
  <si>
    <t>BBB-</t>
  </si>
  <si>
    <t>11</t>
  </si>
  <si>
    <t>BB+</t>
  </si>
  <si>
    <t>표 3. 시나리오 (출발 성장률·정상 이익률 이동, P7-B 자동 초안 규칙)</t>
  </si>
  <si>
    <t>비관</t>
  </si>
  <si>
    <t>낙관</t>
  </si>
  <si>
    <t>출처·근거</t>
  </si>
  <si>
    <t>출발 성장률 이동(g_2026 = 5년 CAGR + 이동)</t>
  </si>
  <si>
    <t>정상 이익률 이동</t>
  </si>
  <si>
    <t>공개 배포 작업 공간/sessions/035610_20260930_001/v1_public/valuation_035610_035610_20260930_001v1p.yaml scenarios.human · 상태 ⚠️(±2%p 사용자 지시)</t>
  </si>
  <si>
    <t>표 5. 실제 차입(약정이자율·잔액, Kd 규칙의 '실제 가중' 계산용)</t>
  </si>
  <si>
    <t>차입</t>
  </si>
  <si>
    <t>이자율</t>
  </si>
  <si>
    <t>잔액(백만원)</t>
  </si>
  <si>
    <t>계산 불가(평균 차입 ≤ 0 또는 이자 없음)</t>
  </si>
  <si>
    <t>fs_std OFS FY2024·2025(이자: 이자의 지급(현금흐름표))</t>
  </si>
  <si>
    <t>표 B. 피어 베타 집계 (공개 모드: 피어별 회귀 결과는 표시하지 않음, PC에서 계산한 집계값)</t>
  </si>
  <si>
    <t>포함 피어 수</t>
  </si>
  <si>
    <t>βu(Blume → Hamada 포함 피어 중앙값, 피어 없으면 대체값)</t>
  </si>
  <si>
    <t>R² 중앙값(포함 피어)</t>
  </si>
  <si>
    <t>PC 엔진 집계(βu 출처 peer). 회귀는 한국거래소 통계정보 기반 계산값</t>
  </si>
  <si>
    <t>표 P. 피어 목록과 배수 사분위 (공개 모드: 피어별 시가총액·배수는 표시하지 않음)</t>
  </si>
  <si>
    <t>회사</t>
  </si>
  <si>
    <t>등급(tier)</t>
  </si>
  <si>
    <t>포함(1/0)</t>
  </si>
  <si>
    <t>재무 기준</t>
  </si>
  <si>
    <t>KT나스미디어</t>
  </si>
  <si>
    <t>core</t>
  </si>
  <si>
    <t>OFS</t>
  </si>
  <si>
    <t>HS애드</t>
  </si>
  <si>
    <t>CFS</t>
  </si>
  <si>
    <t>에코아이</t>
  </si>
  <si>
    <t>인크로스</t>
  </si>
  <si>
    <t>오리콤</t>
  </si>
  <si>
    <t>레뷰코퍼레이션</t>
  </si>
  <si>
    <t>배수</t>
  </si>
  <si>
    <t>n</t>
  </si>
  <si>
    <t>q25</t>
  </si>
  <si>
    <t>중앙값</t>
  </si>
  <si>
    <t>q75</t>
  </si>
  <si>
    <t>EV/EBITDA</t>
  </si>
  <si>
    <t>피어 부족(공개 모드)</t>
  </si>
  <si>
    <t>EV/EBITDA(보완 전)</t>
  </si>
  <si>
    <t>EV/Sales</t>
  </si>
  <si>
    <t>PBR</t>
  </si>
  <si>
    <t>PER</t>
  </si>
  <si>
    <t>PC에서 계산한 집계값(포함 피어의 양(+) 배수, QUARTILE.INC). 재무는 DART 정기보고서, 시가총액은 한국거래소 통계정보. 공개 모드는 포함 피어 5곳 미만인 배수의 사분위를 표시하지 않음(config/p7x2a.yaml public_scope)</t>
  </si>
  <si>
    <t>표 10. SOTP 종속회사 (config/p7b3.yaml sotp) — 상장·직접 보유 = 보유 주식수 × 종가, 비상장 = 장부가</t>
  </si>
  <si>
    <t>상장 지분 할인율</t>
  </si>
  <si>
    <t>종속회사</t>
  </si>
  <si>
    <t>종목코드</t>
  </si>
  <si>
    <t>상장(1/0)</t>
  </si>
  <si>
    <t>직접 보유(1/0)</t>
  </si>
  <si>
    <t>보유 주식수</t>
  </si>
  <si>
    <t>종가(원)</t>
  </si>
  <si>
    <t>장부가(백만원)</t>
  </si>
  <si>
    <t>비상장(1/0)</t>
  </si>
  <si>
    <t>(주)인피니트헬스케어(*1)</t>
  </si>
  <si>
    <t>071200</t>
  </si>
  <si>
    <t>타법인 출자현황 FY2025 · 사업보고서 연결 범위 표 · 종가 한국거래소 통계정보</t>
  </si>
  <si>
    <t>(주)솔본인베스트먼트</t>
  </si>
  <si>
    <t>-</t>
  </si>
  <si>
    <t>타법인 출자현황 FY2025 · 사업보고서 연결 범위 표</t>
  </si>
  <si>
    <t>(주)제론헬스케어(*2)</t>
  </si>
  <si>
    <t>표 11. 상장 관계기업 (config/p7x2b.yaml associates) — 보유 주식수 × 종가 × (1 − 할인), 관계기업 줄 장부는 뺌</t>
  </si>
  <si>
    <t>관계기업 지분 할인율</t>
  </si>
  <si>
    <t>관계기업</t>
  </si>
  <si>
    <t>지분율</t>
  </si>
  <si>
    <t>빼는 장부(백만원)</t>
  </si>
  <si>
    <t>장부 근거</t>
  </si>
  <si>
    <t>키네마스터(주)</t>
  </si>
  <si>
    <t>139670</t>
  </si>
  <si>
    <t>출자현황 장부가(별도 기준)</t>
  </si>
  <si>
    <t>타법인 출자현황 · corp_master 이름 일치 · 종가 한국거래소 통계정보</t>
  </si>
  <si>
    <t>FS_Hist — 엔진이 쓴 과거 재무 (백만원, DART 정기보고서 API·원문 주석)</t>
  </si>
  <si>
    <t>열마다 주 접수번호(가장 많은 줄의 출처), 기타 접수번호는 비교 칸 출처. 값이 없는 줄은 0(엔진과 같음). 입력 셀</t>
  </si>
  <si>
    <t>재무제표</t>
  </si>
  <si>
    <t>기간</t>
  </si>
  <si>
    <t>주 접수번호</t>
  </si>
  <si>
    <t>기타 접수번호</t>
  </si>
  <si>
    <t>별도(OFS)</t>
  </si>
  <si>
    <t>2020 FY</t>
  </si>
  <si>
    <t>20220323000559</t>
  </si>
  <si>
    <t>2021 FY</t>
  </si>
  <si>
    <t>20230721000054</t>
  </si>
  <si>
    <t>2022 FY</t>
  </si>
  <si>
    <t>20240321001602</t>
  </si>
  <si>
    <t>2023 FY</t>
  </si>
  <si>
    <t>20260320001033</t>
  </si>
  <si>
    <t>2024 FY</t>
  </si>
  <si>
    <t>20260323000001</t>
  </si>
  <si>
    <t>2025 FY</t>
  </si>
  <si>
    <t>2025 H1</t>
  </si>
  <si>
    <t>20260814003092</t>
  </si>
  <si>
    <t>20250813001150</t>
  </si>
  <si>
    <t>2026 H1</t>
  </si>
  <si>
    <t>매출액</t>
  </si>
  <si>
    <t>revenue</t>
  </si>
  <si>
    <t>매출원가</t>
  </si>
  <si>
    <t>cogs</t>
  </si>
  <si>
    <t>영업이익</t>
  </si>
  <si>
    <t>operating_income</t>
  </si>
  <si>
    <t>pretax_income</t>
  </si>
  <si>
    <t>당기순이익</t>
  </si>
  <si>
    <t>net_income</t>
  </si>
  <si>
    <t>net_income_parent</t>
  </si>
  <si>
    <t>유형자산 취득(CAPEX)</t>
  </si>
  <si>
    <t>capex_ppe</t>
  </si>
  <si>
    <t>무형자산 취득</t>
  </si>
  <si>
    <t>capex_intangibles</t>
  </si>
  <si>
    <t>감가상각비·무형자산상각비(주석)</t>
  </si>
  <si>
    <t>dna</t>
  </si>
  <si>
    <t>dna_dep</t>
  </si>
  <si>
    <t>매출채권</t>
  </si>
  <si>
    <t>receivables</t>
  </si>
  <si>
    <t>재고자산</t>
  </si>
  <si>
    <t>inventories</t>
  </si>
  <si>
    <t>매입채무</t>
  </si>
  <si>
    <t>trade_payables</t>
  </si>
  <si>
    <t>유형자산</t>
  </si>
  <si>
    <t>ppe</t>
  </si>
  <si>
    <t>무형자산</t>
  </si>
  <si>
    <t>intangibles</t>
  </si>
  <si>
    <t>사용권자산</t>
  </si>
  <si>
    <t>rou_assets</t>
  </si>
  <si>
    <t>총차입금(API 표준 계정)</t>
  </si>
  <si>
    <t>total_debt</t>
  </si>
  <si>
    <t>리스부채</t>
  </si>
  <si>
    <t>lease_liabilities</t>
  </si>
  <si>
    <t>비지배지분</t>
  </si>
  <si>
    <t>nci</t>
  </si>
  <si>
    <t>지배주주지분</t>
  </si>
  <si>
    <t>equity_parent</t>
  </si>
  <si>
    <t>자본총계</t>
  </si>
  <si>
    <t>total_equity</t>
  </si>
  <si>
    <t>연결 재무상태표 금융자산 줄 분류 (2026-06-30, 백만원) — 20260814003092 연결 재무상태표 줄(peer_p3.classify 규칙)</t>
  </si>
  <si>
    <t>계정</t>
  </si>
  <si>
    <t>분류</t>
  </si>
  <si>
    <t>금액</t>
  </si>
  <si>
    <t>현금및현금성자산</t>
  </si>
  <si>
    <t>유동</t>
  </si>
  <si>
    <t>cash_like</t>
  </si>
  <si>
    <t>투자부동산</t>
  </si>
  <si>
    <t>비유동</t>
  </si>
  <si>
    <t>non_operating</t>
  </si>
  <si>
    <t>관계기업투자주식</t>
  </si>
  <si>
    <t>nonop_assoc</t>
  </si>
  <si>
    <t>종속기업투자주식</t>
  </si>
  <si>
    <t>sub_inv</t>
  </si>
  <si>
    <t>당기손익-공정가치측정금융자산</t>
  </si>
  <si>
    <t>분류 cash_like = 현금성(유동: 현금·단기금융·공정가치·기타 유동 금융자산), non_operating = 비영업(비유동: 공정가치·장기금융·기타 금융자산·관계기업·투자부동산). 대상과 피어에 같은 규칙(peer_p3.classify) ⚠️ '기타 금융자산'에는 대여금이 섞일 수 있음</t>
  </si>
  <si>
    <t>Forecast — 연결 예측(기계적 경로) (선택한 시나리오, 백만원)</t>
  </si>
  <si>
    <t>세율표(누진) — Inputs 표 1 연결, 한계세율 차이</t>
  </si>
  <si>
    <t>하한</t>
  </si>
  <si>
    <t>상한</t>
  </si>
  <si>
    <t>세율 증분</t>
  </si>
  <si>
    <t>기초 비율 — 연결 과거 값(FS_Hist), 과거 3년 평균</t>
  </si>
  <si>
    <t>FY2023</t>
  </si>
  <si>
    <t>FY2024</t>
  </si>
  <si>
    <t>FY2025</t>
  </si>
  <si>
    <t>평균</t>
  </si>
  <si>
    <t>영업이익률</t>
  </si>
  <si>
    <t>D&amp;A ÷ 매출</t>
  </si>
  <si>
    <t>CAPEX ÷ 매출(유형 + 무형)</t>
  </si>
  <si>
    <t>매출원가율</t>
  </si>
  <si>
    <t>매출채권 회전일수(매출 기준)</t>
  </si>
  <si>
    <t>재고 회전일수(매출원가 기준)</t>
  </si>
  <si>
    <t>매입채무 회전일수(매출원가 기준)</t>
  </si>
  <si>
    <t>기초 투하자본(전년 말)</t>
  </si>
  <si>
    <t>NOPAT = 영업이익 − 누진 세금</t>
  </si>
  <si>
    <t>ROIC(기초 투하자본 &gt; 0일 때)</t>
  </si>
  <si>
    <t>RONIC 상한(사전 고정)</t>
  </si>
  <si>
    <t>매출 5년 CAGR(FY2020 → FY2025)</t>
  </si>
  <si>
    <t>순운전자본(기초, 2026-06-30)</t>
  </si>
  <si>
    <t>매출채권 + 재고 − 매입채무</t>
  </si>
  <si>
    <t>2026 상반기 매출(연결)</t>
  </si>
  <si>
    <t>2026 상반기 영업이익(연결)</t>
  </si>
  <si>
    <t>FY2025 매출(연결)</t>
  </si>
  <si>
    <t>LTM 세전이익(세후 Kd 한계세율 기준)</t>
  </si>
  <si>
    <t>기본 경로 v2 — 5년 이익률 중앙값, 피어 쪽 수렴, 성장률 혼합(사전 고정 91a84dd)</t>
  </si>
  <si>
    <t>영업이익률 FY2021~2025(매출 &gt; 0인 해)</t>
  </si>
  <si>
    <t>출발 정상 이익률 v2 = 중앙값(3년 이상), 아니면 3년 평균</t>
  </si>
  <si>
    <t>2032년까지 피어 쪽 이동 폭 = 수렴 비율 × (피어 중앙값 − 출발)</t>
  </si>
  <si>
    <t>체감·영구 구간 = 출발 + 이동 폭</t>
  </si>
  <si>
    <t>출발 성장률 v2 = clip(가중 × CAGR + (1 − 가중) × 피어 성장률)</t>
  </si>
  <si>
    <t>시나리오 파라미터 — Inputs 표 3 연결, '선택' 열 = INDEX(…, 선택 순번)</t>
  </si>
  <si>
    <t>선택</t>
  </si>
  <si>
    <t>선택 순번</t>
  </si>
  <si>
    <t>출발 성장률 이동</t>
  </si>
  <si>
    <t>출발 성장률 = v2 출발 성장률 + 이동</t>
  </si>
  <si>
    <t>출발 정상 영업이익률 = v2 중앙값 + 이동</t>
  </si>
  <si>
    <t>명시 마지막 연도 성장률</t>
  </si>
  <si>
    <t>영구성장률(설정)</t>
  </si>
  <si>
    <t>영구·체감 구간 g(데이터 표 입력 칸이 비면 시나리오 값)</t>
  </si>
  <si>
    <t>Scenarios 시트의 데이터 표가 GOvr 칸에 값을 넣어 계산한다</t>
  </si>
  <si>
    <t>예측 (기초 열 = 2026-06-30 재무상태표)</t>
  </si>
  <si>
    <t>기초</t>
  </si>
  <si>
    <t>기간 순번</t>
  </si>
  <si>
    <t>시작일</t>
  </si>
  <si>
    <t>종료일</t>
  </si>
  <si>
    <t>기간 비율(일수 ÷ 365)</t>
  </si>
  <si>
    <t>명시 구간(1/0)</t>
  </si>
  <si>
    <t>매출 성장률</t>
  </si>
  <si>
    <t>회계연도 매출</t>
  </si>
  <si>
    <t>기간 매출</t>
  </si>
  <si>
    <t>영업이익(EBIT)</t>
  </si>
  <si>
    <t>회계연도 영업이익(과세표준)</t>
  </si>
  <si>
    <t>D&amp;A = 매출 × 과거 3년 D&amp;A/매출</t>
  </si>
  <si>
    <t>CAPEX = 매출 × 과거 3년 CAPEX/매출</t>
  </si>
  <si>
    <t>순운전자본(기말)</t>
  </si>
  <si>
    <t>ΔNWC(증가 = 유출)</t>
  </si>
  <si>
    <t>실효세율(누진, 회계연도 과세표준)</t>
  </si>
  <si>
    <t>법인세</t>
  </si>
  <si>
    <t>NOPAT</t>
  </si>
  <si>
    <t>체감 구간 재투자율 g ÷ RONIC</t>
  </si>
  <si>
    <t>체감 구간 재투자</t>
  </si>
  <si>
    <t>FCFF</t>
  </si>
  <si>
    <t>EBITDA</t>
  </si>
  <si>
    <t>사업계획 검증 — 예측(선택 시나리오) vs 과거 (표시만, 괴리 경고 기준은 사람 판단)</t>
  </si>
  <si>
    <t>과거 매출 CAGR(연결 FY2020 → FY2025)</t>
  </si>
  <si>
    <t>예측 FY2026 매출 성장률(직전 회계연도 대비)</t>
  </si>
  <si>
    <t>예측 매출 CAGR(FY2026 → 명시 마지막 연도)</t>
  </si>
  <si>
    <t xml:space="preserve">  차이(예측 CAGR − 과거 CAGR)</t>
  </si>
  <si>
    <t>과거 영업이익률 평균(연결 FY2023~FY2025)</t>
  </si>
  <si>
    <t>예측 정상 영업이익률</t>
  </si>
  <si>
    <t xml:space="preserve">  차이(예측 − 과거)</t>
  </si>
  <si>
    <t>참고: P5-B 스팩 합병 외부평가 추정의 실제 달성률(실적 ÷ 예측, 표시만) 🔸</t>
  </si>
  <si>
    <t>차연도 h</t>
  </si>
  <si>
    <t>달성률 중앙값</t>
  </si>
  <si>
    <t>Q1</t>
  </si>
  <si>
    <t>Q3</t>
  </si>
  <si>
    <t>매출</t>
  </si>
  <si>
    <t>스팩 합병 외부평가 추정 기준 참고값. 대상 회사와 상황이 다름. 달성률은 예측이 분모라 높은 예측일수록 낮게 나오는 기계적 성분이 있음</t>
  </si>
  <si>
    <t>출처: reports/p5b_final.md (커밋 0a8d7c6), DB p5b_error·p5b_forecast·p5b_srp_cites. 거래 목록은 넣지 않음(집계값만)</t>
  </si>
  <si>
    <t>예측 매출 CAGR 구간별 매출 달성률 중앙값(스팩, 사분위 4구간, 기준 86건)</t>
  </si>
  <si>
    <t>CAGR 하한</t>
  </si>
  <si>
    <t>CAGR 상한</t>
  </si>
  <si>
    <t>거래 수</t>
  </si>
  <si>
    <t>1차 중앙값</t>
  </si>
  <si>
    <t>1차 n</t>
  </si>
  <si>
    <t>2차 중앙값</t>
  </si>
  <si>
    <t>2차 n</t>
  </si>
  <si>
    <t>3차 중앙값</t>
  </si>
  <si>
    <t>3차 n</t>
  </si>
  <si>
    <t>1구간(하위 25%)</t>
  </si>
  <si>
    <t>2구간</t>
  </si>
  <si>
    <t>3구간</t>
  </si>
  <si>
    <t>4구간(상위 25%)</t>
  </si>
  <si>
    <t>비교 기준 추정 연수(의견서 추정 기간 중앙값)</t>
  </si>
  <si>
    <t>대상 회사 예측 매출 CAGR(첫 추정 회계연도부터 N개 연도, 선택 시나리오)</t>
  </si>
  <si>
    <t>해당 구간(1~4)</t>
  </si>
  <si>
    <t>그 구간 매출 달성률 중앙값 1차 / 2차 / 3차</t>
  </si>
  <si>
    <t>표시만: 예측을 자동으로 깎거나 경고 판정하지 않는다. 비교 기준이 다름(스팩 합병 의견서 5년 추정 vs 이 모델)</t>
  </si>
  <si>
    <t>WACC — 피어 베타 → 할인율</t>
  </si>
  <si>
    <t>원 β → Blume(0.67 β + 0.33) → Hamada 언레버(회사별 기간평균 D/E, t 22%) → 포함 피어 중앙값. 회귀 결과는 한국거래소 통계정보 기반</t>
  </si>
  <si>
    <t>βu(공개 모드 집계 입력)</t>
  </si>
  <si>
    <t>R² 중앙값(포함 피어, 집계 입력)</t>
  </si>
  <si>
    <t>베타 신뢰성 경고</t>
  </si>
  <si>
    <t>표시만(경로 불변, common_rules)</t>
  </si>
  <si>
    <t>엔진 βu 중앙값</t>
  </si>
  <si>
    <t>할인율 (선택한 SRP)</t>
  </si>
  <si>
    <t>Rf(Inputs 'Rf 만기 선택', 데이터 표 입력 칸이 비면)</t>
  </si>
  <si>
    <t>MRP(데이터 표 입력 칸이 비면 Inputs 값)</t>
  </si>
  <si>
    <t>SRP(데이터 표 입력 칸이 비면 선택 값)</t>
  </si>
  <si>
    <t>βu</t>
  </si>
  <si>
    <t>목표 D/E</t>
  </si>
  <si>
    <t>βL = βu × (1 + (1 − t) × D/E)</t>
  </si>
  <si>
    <t>Ke = Rf + βL × MRP + SRP</t>
  </si>
  <si>
    <t>한계세율 기준: 연결 LTM 세전이익</t>
  </si>
  <si>
    <t>company_dcf.discount_rate</t>
  </si>
  <si>
    <t>한계세율(세후 Kd)</t>
  </si>
  <si>
    <t>실제 가중 약정이자율(Inputs 표 5)</t>
  </si>
  <si>
    <t>등급 A+~BBB+일 때만 규칙에 쓰인다</t>
  </si>
  <si>
    <t>등급 순번(빈칸 = 무등급 0)</t>
  </si>
  <si>
    <t>규칙 Kd(하한 전)</t>
  </si>
  <si>
    <t>세전 Kd = max(규칙 Kd, Rf)</t>
  </si>
  <si>
    <t>세후 Kd</t>
  </si>
  <si>
    <t>D/V = D/E ÷ (1 + D/E)</t>
  </si>
  <si>
    <t>WACC(계산) = E/V × Ke + D/V × Kd × (1 − t)</t>
  </si>
  <si>
    <t>WACC(모델 사용, 데이터 표 입력 칸이 비면 계산값)</t>
  </si>
  <si>
    <t>Scenarios 시트 WACC × g 데이터 표가 WaccOvr 칸에 값을 넣어 계산</t>
  </si>
  <si>
    <t>Kd 규칙(공통 규칙, 위 순서): 무등급 → BBB- 3년 / AA- 이상 → AA- 3년 / A+~BBB+ → max(실제 가중, AA- 3년) / BBB 이하 → BBB- 3년, 하한 Rf</t>
  </si>
  <si>
    <t>SRP 열별 WACC(같은 βu·D/E)</t>
  </si>
  <si>
    <t>DCF — 할인·영구가치·EV (선택한 시나리오·SRP)</t>
  </si>
  <si>
    <t>할인 기준일 6/30(재무상태표) → mid-year 할인 → EV를 평가기준일 9/30로 이월. 순현금은 6/30 장부(이월 안 함)</t>
  </si>
  <si>
    <t>기간 비율</t>
  </si>
  <si>
    <t>기간 말까지 연수(할인 기준일부터)</t>
  </si>
  <si>
    <t>할인 연수(mid-year면 기간 중앙)</t>
  </si>
  <si>
    <t>할인계수 (1 + WACC)^−t</t>
  </si>
  <si>
    <t>현재가치(6/30)</t>
  </si>
  <si>
    <t>RONIC — 2027~명시 마지막 연도 증분 ROIC (P3-B2 규칙, P3-C3 출발점)</t>
  </si>
  <si>
    <t>FY2026 EBIT(정상 = FY2026 매출 × 정상 이익률)</t>
  </si>
  <si>
    <t xml:space="preserve">  NOPAT FY2026 (normal 규칙)</t>
  </si>
  <si>
    <t>FY2026 EBIT(혼합 = 1H 실적 + 2H 정상)</t>
  </si>
  <si>
    <t xml:space="preserve">  NOPAT FY2026 (mixed 규칙)</t>
  </si>
  <si>
    <t>출발 NOPAT(선택 규칙)</t>
  </si>
  <si>
    <t>Inputs의 RONIC 출발점 규칙</t>
  </si>
  <si>
    <t>명시 마지막 연도 EBIT</t>
  </si>
  <si>
    <t xml:space="preserve">  NOPAT</t>
  </si>
  <si>
    <t>누적 재투자 Σ(CAPEX − D&amp;A + ΔNWC), 2027~명시 끝</t>
  </si>
  <si>
    <t>증분 ROIC(계산값)</t>
  </si>
  <si>
    <t>RONIC(적용)</t>
  </si>
  <si>
    <t>재투자 ≤ 0이면 WACC, 그 밖은 [WACC, 과거 3년 ROIC]로 자름(사전 고정); 과거 ROIC &lt; WACC면 WACC(하한 우선, P7-X2b)</t>
  </si>
  <si>
    <t>대체 여부</t>
  </si>
  <si>
    <t>영구가치 (가치동인: FCF = NOPAT × (1 − g ÷ RONIC))</t>
  </si>
  <si>
    <t>마지막 체감 연도 매출</t>
  </si>
  <si>
    <t>마지막 체감 연도 EBIT</t>
  </si>
  <si>
    <t>다음 해 매출 = 매출 × (1 + g)</t>
  </si>
  <si>
    <t>다음 해 EBIT</t>
  </si>
  <si>
    <t>다음 해 NOPAT</t>
  </si>
  <si>
    <t>다음 해 FCF = NOPAT × (1 − g ÷ RONIC)</t>
  </si>
  <si>
    <t>영구가치 TV(Gordon, mid-year면 × (1+WACC)^0.5)</t>
  </si>
  <si>
    <t>마지막 기간 말까지 연수</t>
  </si>
  <si>
    <t>영구가치 현재가치</t>
  </si>
  <si>
    <t>명시·체감 FCFF 현재가치 합</t>
  </si>
  <si>
    <t>EV(할인 기준일 6/30)</t>
  </si>
  <si>
    <t>이월 일수(평가기준일 − 할인 기준일)</t>
  </si>
  <si>
    <t>EV(평가기준일, × (1+WACC)^(일수 ÷ 365))</t>
  </si>
  <si>
    <t>영구가치 비중(PV TV ÷ EV)</t>
  </si>
  <si>
    <t>명시 마지막 연도 D&amp;A</t>
  </si>
  <si>
    <t>명시 마지막 연도 매출</t>
  </si>
  <si>
    <t>마지막 연도 D&amp;A(매출 × D&amp;A/매출)</t>
  </si>
  <si>
    <t>마지막 연도 EBITDA</t>
  </si>
  <si>
    <t>Gordon 함의 EV/EBITDA(TV ÷ EBITDA)</t>
  </si>
  <si>
    <t>Exit 배수(EV/EBITDA)</t>
  </si>
  <si>
    <t>피어 EV/EBITDA 중앙값(병행 표시용, 엔진은 Exit 미계산 ⚠️)</t>
  </si>
  <si>
    <t>Exit 영구가치(배수 × EBITDA)</t>
  </si>
  <si>
    <t>시장 배수 → mid-year 조정 없음</t>
  </si>
  <si>
    <t>Exit 영구가치 현재가치</t>
  </si>
  <si>
    <t>EV(Exit, 6/30)</t>
  </si>
  <si>
    <t>EV(Exit, 평가기준일)</t>
  </si>
  <si>
    <t>영구가치 비중(Exit)</t>
  </si>
  <si>
    <t>Exit 함의 영구성장률</t>
  </si>
  <si>
    <t>영구가치 교차 확인 (Gordon vs Exit, 같은 명시·체감 현금흐름)</t>
  </si>
  <si>
    <t>방식</t>
  </si>
  <si>
    <t>주당(원)</t>
  </si>
  <si>
    <t>EV/EBITDA(배)</t>
  </si>
  <si>
    <t>영구성장률</t>
  </si>
  <si>
    <t>영구가치 비중</t>
  </si>
  <si>
    <t>Gordon(가치동인)</t>
  </si>
  <si>
    <t>Exit(배수)</t>
  </si>
  <si>
    <t>Gordon 행의 배수 = 함의 배수, Exit 행의 g = 함의 영구성장률. 차이는 사실로만 표시</t>
  </si>
  <si>
    <t>Bridge — EV → 주식가치 → 주당 (연결 DCF − 비지배지분)</t>
  </si>
  <si>
    <t>주식가치 = EV − 순차입금(차입금 + 리스부채 − 현금성) + 비영업자산 − 비지배지분(장부). 현금성·비영업은 FS_Hist 줄 분류(peer_p3 규칙)</t>
  </si>
  <si>
    <t>EV(평가기준일)</t>
  </si>
  <si>
    <t>DCF 시트</t>
  </si>
  <si>
    <t>총차입금(차입금·사채)</t>
  </si>
  <si>
    <t>2026-06-30 연결</t>
  </si>
  <si>
    <t>리스부채(IFRS 16)</t>
  </si>
  <si>
    <t>WACC D/E와 같은 정의</t>
  </si>
  <si>
    <t>현금성(유동 금융자산 줄 합계)</t>
  </si>
  <si>
    <t>FS_Hist 분류 cash_like</t>
  </si>
  <si>
    <t>순차입금 = 차입금 + 리스 − 현금성</t>
  </si>
  <si>
    <t>비영업자산(비유동 금융자산·관계기업 줄 합계) + SOTP 종속회사 가치</t>
  </si>
  <si>
    <t>FS_Hist 분류 non_operating + 아래 SOTP 행(종속 줄은 빼고 바꿔 넣음)</t>
  </si>
  <si>
    <t xml:space="preserve">  참고: '기타금융자산' 줄 합계(유동 + 비유동)</t>
  </si>
  <si>
    <t>현금성·비영업 안에 포함된 금액</t>
  </si>
  <si>
    <t xml:space="preserve">  SOTP: 별도 재무상태표 '종속' 투자 줄(비영업에서 제외)</t>
  </si>
  <si>
    <t>FS_Hist 분류 sub_inv</t>
  </si>
  <si>
    <t xml:space="preserve">  SOTP: 그중 연결 범위 피투자회사 장부가(출자현황)</t>
  </si>
  <si>
    <t>Inputs 표 10</t>
  </si>
  <si>
    <t xml:space="preserve">  SOTP: 합친 줄의 관계기업 몫 = max(줄 − 장부, 0)</t>
  </si>
  <si>
    <t>장부가 유지</t>
  </si>
  <si>
    <t xml:space="preserve">  SOTP: 상장 종속회사 지분 시가 = 보유 주식수 × 종가</t>
  </si>
  <si>
    <t>직접 보유분만, 한국거래소 통계정보 종가</t>
  </si>
  <si>
    <t xml:space="preserve">  SOTP: 상장 지분 할인율</t>
  </si>
  <si>
    <t>기본 0%, 민감도 30%·50%</t>
  </si>
  <si>
    <t xml:space="preserve">  SOTP: 비상장 종속회사 장부가</t>
  </si>
  <si>
    <t xml:space="preserve">  상장 관계기업: 관계기업·공동기업·지분법 줄(비영업, 장부)</t>
  </si>
  <si>
    <t>FS_Hist 분류 nonop_assoc</t>
  </si>
  <si>
    <t xml:space="preserve">  상장 관계기업 지분 시가 × (1 − 할인)</t>
  </si>
  <si>
    <t>Inputs 표 11, 한국거래소 통계정보 종가</t>
  </si>
  <si>
    <t xml:space="preserve">  빼는 장부 = MIN(관계기업 줄, Σ 관계기업 장부) (줄이 없으면 SOTP 나머지에서)</t>
  </si>
  <si>
    <t>이중 계산 방지(관계기업 장부를 시가로 바꿈)</t>
  </si>
  <si>
    <t>비지배지분(장부)</t>
  </si>
  <si>
    <t>상장 종속회사 없음 → 장부</t>
  </si>
  <si>
    <t>주식가치</t>
  </si>
  <si>
    <t xml:space="preserve">  EV 밖 항목 합계(시나리오·SRP와 무관)</t>
  </si>
  <si>
    <t>Scen_Calc·Peers가 같은 값을 쓴다</t>
  </si>
  <si>
    <t xml:space="preserve">  지분법 방식 배수(PER·PBR)에 더할 항목</t>
  </si>
  <si>
    <t>연결 구조: 없음</t>
  </si>
  <si>
    <t>유통주식수 = (보통주 + 우선주) − 자기주식</t>
  </si>
  <si>
    <t>우선주를 보통주와 같은 청구권으로 본다(⚠️)</t>
  </si>
  <si>
    <t>주당 가치(원, Gordon)</t>
  </si>
  <si>
    <t>가정 하의 추정 내재가치(예시)</t>
  </si>
  <si>
    <t>기준일 종가(보통주) 대비</t>
  </si>
  <si>
    <t>가정 차이 표시(판단 아님)</t>
  </si>
  <si>
    <t>주식가치(Exit 영구가치)</t>
  </si>
  <si>
    <t>주당 가치(원, Exit)</t>
  </si>
  <si>
    <t>참고: 순자산가치(지배주주지분 장부, 없으면 자본총계 − 비지배, 주당 원)</t>
  </si>
  <si>
    <t>자산가치 접근(재평가 없음, 장부 그대로) — 03 문서 3-2</t>
  </si>
  <si>
    <t>구조 판단 규칙 (config/valuation_rules.yaml structure)</t>
  </si>
  <si>
    <t>시장 주식가치(보통주 + 우선주)</t>
  </si>
  <si>
    <t>비지배지분(상장 종속회사면 시가, 아니면 장부)</t>
  </si>
  <si>
    <t>비지배지분 ÷ 시장 주식가치</t>
  </si>
  <si>
    <t>부문 이익률 차이</t>
  </si>
  <si>
    <t>부문 성장률 차이</t>
  </si>
  <si>
    <t>규칙 판정</t>
  </si>
  <si>
    <t>비지배 ≥ 10% 또는 (상장 종속회사 + 이익률 차이 ≥ 5%p 또는 성장률 차이 ≥ 10%p) → SOTP</t>
  </si>
  <si>
    <t>Scen_Calc — 시나리오 4 × SRP 3 (Forecast·DCF와 같은 수식, 시나리오 고정)</t>
  </si>
  <si>
    <t>Scenarios 시트 표의 계산. 할인 연수는 DCF 시트와 같은 행을 쓴다. 주식가치 = EV + Bridge의 EV 밖 항목</t>
  </si>
  <si>
    <t>시나리오: 비관</t>
  </si>
  <si>
    <t>FCFF(체감 재투자 전)</t>
  </si>
  <si>
    <t>FY2026 EBIT(정상)</t>
  </si>
  <si>
    <t>FY2026 EBIT(혼합)</t>
  </si>
  <si>
    <t>누적 재투자</t>
  </si>
  <si>
    <t>마지막 연도 매출</t>
  </si>
  <si>
    <t>WACC</t>
  </si>
  <si>
    <t>현재가치</t>
  </si>
  <si>
    <t>영구가치(가치동인)</t>
  </si>
  <si>
    <t>EV(6/30)</t>
  </si>
  <si>
    <t>주식가치 = EV + EV 밖 항목(Bridge)</t>
  </si>
  <si>
    <t>주당 가치(원)</t>
  </si>
  <si>
    <t>시나리오: 기본</t>
  </si>
  <si>
    <t>시나리오: 낙관</t>
  </si>
  <si>
    <t>Peers — 피어 배수 (LTM, 연결 브리지로 주당 환산)</t>
  </si>
  <si>
    <t>배수 = EV(또는 시가총액) ÷ LTM 지표. 분모 ≤ 0이면 N/M, 배수 ≤ 0(음의 EV)은 통계에서 제외(엔진과 같음). 포함 = core+extended. 사분위 = QUARTILE.INC(pandas 선형 보간과 같음)</t>
  </si>
  <si>
    <t>공개 모드: 피어별 시가총액·배수는 표시하지 않고 사분위 배수만 입력 칸(Inputs 표 P)으로 둔다</t>
  </si>
  <si>
    <t>대상 LTM 지표 (연결, D&amp;A는 점검 규칙 적용)</t>
  </si>
  <si>
    <t>매출(연결 LTM)</t>
  </si>
  <si>
    <t>영업이익(연결 LTM)</t>
  </si>
  <si>
    <t>D&amp;A LTM(반기 값이 3개월로 보이면 FY 값, D&amp;A/매출 1~20% 밖이면 N/M)</t>
  </si>
  <si>
    <t>EBITDA(LTM)</t>
  </si>
  <si>
    <t>지배주주순이익(LTM, 없으면 당기순이익)</t>
  </si>
  <si>
    <t>지배주주지분(6/30, 없으면 자본총계 − 비지배)</t>
  </si>
  <si>
    <t>배수 요약 → 주당 가치</t>
  </si>
  <si>
    <t>대상 지표</t>
  </si>
  <si>
    <t>주당 q25(원)</t>
  </si>
  <si>
    <t>주당 중앙값(원)</t>
  </si>
  <si>
    <t>주당 q75(원)</t>
  </si>
  <si>
    <t>경고</t>
  </si>
  <si>
    <t>엔진 주당 q25</t>
  </si>
  <si>
    <t>엔진 주당 중앙값</t>
  </si>
  <si>
    <t>엔진 주당 q75</t>
  </si>
  <si>
    <t>n/a</t>
  </si>
  <si>
    <t>EV 배수: 배수 × 대상 LTM 지표 + EV 밖 항목(− 순차입금 + 비영업 − 비지배, Bridge). PER × 지배순이익, PBR × 지배지분</t>
  </si>
  <si>
    <t>Premium — 지배 블록 1주당 가격 범위 (경영권 프리미엄 DB 집계값)</t>
  </si>
  <si>
    <t>블록 1주당 = 20거래일 VWAP × (1 + 프리미엄). 지분 전체·DCF 가치에 (1+프리미엄)을 곱하지 않는다. 프리미엄 DB는 분위수·표본 수만</t>
  </si>
  <si>
    <t>D6 적용 규칙 (config/premium_p2c3.yaml application_rule, 사용자 결정 2026-10-03)</t>
  </si>
  <si>
    <t>시총 백분위</t>
  </si>
  <si>
    <t>회귀 채택(CV 개선 ≥ 기준, 1=예)</t>
  </si>
  <si>
    <t>회귀 q50 − 이웃 중앙값(절댓값)</t>
  </si>
  <si>
    <t>차이 경고(&gt; 10%p, 1=예)</t>
  </si>
  <si>
    <t>method</t>
  </si>
  <si>
    <t>이유</t>
  </si>
  <si>
    <t>엔진(predict.premium_range)</t>
  </si>
  <si>
    <t>regression</t>
  </si>
  <si>
    <t>cv_adopted</t>
  </si>
  <si>
    <t>순서: KOSPI → 이웃(rule_market) / KOSDAQ 백분위 ≥ 80 → 이웃(rule_top_band) / 회귀 채택 + 차이 경고 → 이웃(warning) / 회귀 채택 → 회귀(cv_adopted) / 미채택 → 구간 표(cv_not_adopted)</t>
  </si>
  <si>
    <t>프리미엄 분위</t>
  </si>
  <si>
    <t>q50</t>
  </si>
  <si>
    <t>표본 수</t>
  </si>
  <si>
    <t>이웃 50건</t>
  </si>
  <si>
    <t>분위 회귀(참고, 항상 표시)</t>
  </si>
  <si>
    <t>구간 표 P60-80</t>
  </si>
  <si>
    <t>적용(D6 method)</t>
  </si>
  <si>
    <t>블록 1주당 가격 (원)</t>
  </si>
  <si>
    <t>20거래일 VWAP(평가기준일까지, 한국거래소 통계정보)</t>
  </si>
  <si>
    <t>기준일 종가</t>
  </si>
  <si>
    <t>블록 1주당 q25 = VWAP × (1 + 프리미엄)</t>
  </si>
  <si>
    <t>블록 1주당 q50 = VWAP × (1 + 프리미엄)</t>
  </si>
  <si>
    <t>블록 1주당 q75 = VWAP × (1 + 프리미엄)</t>
  </si>
  <si>
    <t>엔진</t>
  </si>
  <si>
    <t>상증법 최대주주 할증 비교 (⚠️ 원문 미확인, 중소·일정 중견기업 제외 가능)</t>
  </si>
  <si>
    <t>할증 적용: VWAP × (1 + 할증률)</t>
  </si>
  <si>
    <t>할증 적용: 종가 × (1 + 할증률)</t>
  </si>
  <si>
    <t>할증 제외(VWAP)</t>
  </si>
  <si>
    <t>세법 평가액은 평가기준일 전후 2개월 평균 종가가 원칙 — 여기서는 비교용 단순화</t>
  </si>
  <si>
    <t>엔진 경고(predict.premium_range): 없음</t>
  </si>
  <si>
    <t>Scenarios — 시나리오 × SRP (가정 하의 추정 내재가치, 예시)</t>
  </si>
  <si>
    <t>A 표·C·D 데이터 표는 살아 있는 수식(Scen_Calc, 엑셀 What-If). 회색 표는 엔진 계산값(수식 아님) — 대조용</t>
  </si>
  <si>
    <t>A-1. 주당 가치(원, Gordon) — 살아 있는 수식</t>
  </si>
  <si>
    <t>시나리오 \ SRP</t>
  </si>
  <si>
    <t>기준일 종가 대비</t>
  </si>
  <si>
    <t>A-2. WACC</t>
  </si>
  <si>
    <t>A-3. RONIC(적용)</t>
  </si>
  <si>
    <t>A-4. 영구가치 비중</t>
  </si>
  <si>
    <t>선택 칸(시나리오·SRP)의 표 값</t>
  </si>
  <si>
    <t>= Bridge 주당 가치와 같아야 한다(Checks)</t>
  </si>
  <si>
    <t>B. 엔진 값(수식 아님) — rf_dcf2.value, P3-C3 규칙. Checks의 INFO 대조에 쓴다</t>
  </si>
  <si>
    <t>엔진: 주당 가치(원, Gordon)</t>
  </si>
  <si>
    <t>엔진: WACC</t>
  </si>
  <si>
    <t>엔진: RONIC</t>
  </si>
  <si>
    <t>엔진: 영구가치 비중</t>
  </si>
  <si>
    <t>엔진: Gordon 함의 EV/EBITDA</t>
  </si>
  <si>
    <t>엔진: 주당 가치(원, Exit)</t>
  </si>
  <si>
    <t>엔진: EV(평가기준일, 백만원)</t>
  </si>
  <si>
    <t>엔진: Exit 함의 영구성장률</t>
  </si>
  <si>
    <t>엔진: 영구가치 비중(Exit)</t>
  </si>
  <si>
    <t>살아 있는 표 − 엔진 표 (주당, 원)</t>
  </si>
  <si>
    <t>데이터 표 입력 칸 — 비워 둔다(데이터 표가 계산할 때만 값이 들어간다). 값을 넣으면 모델 전체가 그 값으로 바뀐다</t>
  </si>
  <si>
    <t>WACC 입력 칸(C 표 행 입력)</t>
  </si>
  <si>
    <t>영구성장률 입력 칸(C 표 열 입력)</t>
  </si>
  <si>
    <t>이익률 이동 입력 칸(D 표 행 입력)</t>
  </si>
  <si>
    <t>출발 성장률 이동 입력 칸(D 표 열 입력)</t>
  </si>
  <si>
    <t>SRP 입력 칸(M 표 행 입력)</t>
  </si>
  <si>
    <t>MRP 입력 칸(M 표 열 입력)</t>
  </si>
  <si>
    <t>C. WACC × 영구성장률 g — 살아 있는 데이터 표(주당 원, 현재 선택 시나리오·SRP 기준). 오른쪽은 엔진 격자(기본·SRP 0%)</t>
  </si>
  <si>
    <t>WACC 이동폭(입력)</t>
  </si>
  <si>
    <t>엔진(기본·SRP 0%)</t>
  </si>
  <si>
    <t>표 − 엔진(원)</t>
  </si>
  <si>
    <t>D. 출발 성장률 이동 × 정상 이익률 이동 — 살아 있는 데이터 표(주당 원, 현재 선택 시나리오·SRP 기준). 오른쪽은 엔진 격자(기본·SRP 0%)</t>
  </si>
  <si>
    <t>M. MRP × SRP (기본 시나리오) — 살아 있는 데이터 표(주당 원, 현재 선택 시나리오 기준). 오른쪽은 엔진 격자(기본)</t>
  </si>
  <si>
    <t>데이터 표는 현재 선택(기본·SRP 0%이 기본)으로 계산된다. 엔진 격자는 기본·SRP 0% 값이라 선택이 같을 때만 비교한다. 엑셀 계산 옵션이 '데이터 표 제외 자동'이면 F9로 다시 계산</t>
  </si>
  <si>
    <t>E. 역DCF — 기준일 종가(20,000원)를 맞추는 값 (기본 경로, SRP 0%, 하나씩만 바꿈) — 엔진 값</t>
  </si>
  <si>
    <t>출발 성장률 g_2026(2030년까지 g로 체감, 탐색 −30%~+60%)</t>
  </si>
  <si>
    <t>보조: 같은 경로·이익률에서의 WACC</t>
  </si>
  <si>
    <t>보조: 기본 성장·WACC에서 필요한 정상 이익률</t>
  </si>
  <si>
    <t>G. Rf 만기 × SRP (P6-A) — 기본 결과(A 표)는 그대로. 10년·인용 SRP는 민감도</t>
  </si>
  <si>
    <t>Rf 입력 칸(G 표 열 입력) — 비워 둔다</t>
  </si>
  <si>
    <t>G-1. 살아 있는 데이터 표(주당 원, 현재 선택 시나리오). 행 = Rf 국고채 5년 / 10년, 열 = SRP 열 1~3 / 한공회 인용 참고값</t>
  </si>
  <si>
    <t>엔진(기본 시나리오)</t>
  </si>
  <si>
    <t>SRP 인용 참고값 주당(Rf 5년, 현재 시나리오) — 위 표 마지막 열. SRP 기본 열(0·1·2%, 결정 D4)은 바꾸지 않는다</t>
  </si>
  <si>
    <t>G-2. 엔진: Rf 국고채 10년 — 주당 가치(원, Gordon)</t>
  </si>
  <si>
    <t>G-2. 엔진: Rf 국고채 10년 — WACC</t>
  </si>
  <si>
    <t>G-3. A-1 표 − G-2 주당(원) — Inputs 'Rf 만기 선택' = 10일 때만 값이 나온다</t>
  </si>
  <si>
    <t>Football — 방법별 주당 범위 (원, 가정 하 추정·참고 범위)</t>
  </si>
  <si>
    <t>막대 = 낮음~높음, 점 = 대표값, 빨간 점선 = 기준일 종가. 투자 권유 아님. 시세 자료 출처: 한국거래소 통계정보</t>
  </si>
  <si>
    <t>그룹</t>
  </si>
  <si>
    <t>낮음</t>
  </si>
  <si>
    <t>높음</t>
  </si>
  <si>
    <t>대표</t>
  </si>
  <si>
    <t>y</t>
  </si>
  <si>
    <t>정의</t>
  </si>
  <si>
    <t>DCF(연결)</t>
  </si>
  <si>
    <t>DCF 비관</t>
  </si>
  <si>
    <t>SRP 2%~0% 범위, 대표 = SRP 0%</t>
  </si>
  <si>
    <t>DCF 기본</t>
  </si>
  <si>
    <t>DCF 낙관</t>
  </si>
  <si>
    <t>상대가치(연결, 피어 LTM)</t>
  </si>
  <si>
    <t>피어 사분위 × 대상 LTM 지표 + EV 밖 항목</t>
  </si>
  <si>
    <t>블록 거래 가격(참고)</t>
  </si>
  <si>
    <t>지배 블록 1주당</t>
  </si>
  <si>
    <t>20일 VWAP × (1 + 프리미엄, D6). 지분 전체 가치 아님</t>
  </si>
  <si>
    <t>참고</t>
  </si>
  <si>
    <t>순자산가치(장부)</t>
  </si>
  <si>
    <t>지배주주지분 장부 ÷ 주식수(재평가 없음, 자산가치 접근 참고)</t>
  </si>
  <si>
    <t>기준일 종가 선</t>
  </si>
  <si>
    <t>Convergence — 수렴 시험 (사전 고정 기준)</t>
  </si>
  <si>
    <t>판정 = 엔진 기록값(회색). 아래 '살아 있는 모델'은 같은 기준을 지금 엑셀 값으로 다시 계산한 것 — 일치 여부는 Checks INFO</t>
  </si>
  <si>
    <t>기준(사전 고정)</t>
  </si>
  <si>
    <t>기본 DCF 주당가치(SRP 0%)가 피어 EV/EBITDA 사분위 주당 범위 안이면 '수렴'(기록만, P7-B 성공 기준 아님)</t>
  </si>
  <si>
    <t>엔진 기록</t>
  </si>
  <si>
    <t>DCF 주당(원)</t>
  </si>
  <si>
    <t>사분위 q25(원)</t>
  </si>
  <si>
    <t>사분위 q75(원)</t>
  </si>
  <si>
    <t>판정</t>
  </si>
  <si>
    <t>비고</t>
  </si>
  <si>
    <t>C2 — 사전 고정 1차 판정</t>
  </si>
  <si>
    <t>판정 불가(대상 지표 ≤ 0)</t>
  </si>
  <si>
    <t>보완 전 피어 표(EBITDA n=5)</t>
  </si>
  <si>
    <t>C3 — 공통 규칙 수정 후</t>
  </si>
  <si>
    <t>D&amp;A 보완 후 피어 표</t>
  </si>
  <si>
    <t>같은 기준, 보완 전 표로 본 C3</t>
  </si>
  <si>
    <t>살아 있는 모델(현재 입력)</t>
  </si>
  <si>
    <t>기본 DCF(SRP 열 1) vs 피어 EV/EBITDA 사분위</t>
  </si>
  <si>
    <t>기본 DCF(SRP 열 1) vs 보완 전 표 사분위</t>
  </si>
  <si>
    <t>범위 밖 거리(원, 0 = 안)</t>
  </si>
  <si>
    <t>기준일 종가 대비 기본 DCF(표시만)</t>
  </si>
  <si>
    <t>Checks — 모델 점검</t>
  </si>
  <si>
    <t>ERR(또는 이 표 안 수식 오류)가 하나라도 있으면 master check = ERR. WARN은 주의 표시, INFO는 엔진 값 대조(입력을 바꾸면 달라지는 것이 정상). N/M = 양쪽 모두 숫자가 아님(일치), 한쪽만 N/M이면 DIFF</t>
  </si>
  <si>
    <t>#</t>
  </si>
  <si>
    <t>기준·비교</t>
  </si>
  <si>
    <t>종류</t>
  </si>
  <si>
    <t>설명</t>
  </si>
  <si>
    <t>SOTP 이중 계산 점검: '종속' 투자 줄은 비영업 분류에 없음(시가·장부로 바꿔 넣음)</t>
  </si>
  <si>
    <t>CHECK</t>
  </si>
  <si>
    <t>SOTP 단위 점검: 피투자회사 장부가 합계 ≤ '종속' 줄 × 1.02</t>
  </si>
  <si>
    <t>WARN</t>
  </si>
  <si>
    <t>출자현황 금액 단위나 이름 일치가 맞지 않으면 WARN</t>
  </si>
  <si>
    <t>SOTP 상장 지분 = 보유 주식수 × 종가(직접 보유)</t>
  </si>
  <si>
    <t>상장 관계기업 시가 = 보유 주식수 × 종가 × (1 − 할인)</t>
  </si>
  <si>
    <t>상장 관계기업 이중 계산 점검: 빼는 장부 ≤ 관계기업 줄(또는 SOTP 나머지)·장부 합</t>
  </si>
  <si>
    <t>주식가치 = EV − 순차입금 + 비영업 − 비지배(+ 대여금 조정)</t>
  </si>
  <si>
    <t>EV ↔ 주식가치 왕복(주당 × 주식수 − EV 밖 항목 = EV)</t>
  </si>
  <si>
    <t>시나리오 표 선택 칸 = 살아 있는 모델(Bridge 주당)</t>
  </si>
  <si>
    <t>WACC &gt; g (모든 시나리오·SRP, Gordon 조건)</t>
  </si>
  <si>
    <t>구조 판단 규칙 = 설정한 평가 구조</t>
  </si>
  <si>
    <t>12</t>
  </si>
  <si>
    <t>법인세 구간 연속(0에서 시작, 상한 = 다음 하한, 마지막 상한 없음)</t>
  </si>
  <si>
    <t>13</t>
  </si>
  <si>
    <t>시나리오 선택이 목록 값</t>
  </si>
  <si>
    <t>14</t>
  </si>
  <si>
    <t>SRP 선택이 목록 값</t>
  </si>
  <si>
    <t>15</t>
  </si>
  <si>
    <t>기간 열 수 = 명시 끝 + 체감 연수(생성 시 고정)</t>
  </si>
  <si>
    <t>16</t>
  </si>
  <si>
    <t>체감 마지막 연도 성장률 = 영구성장률</t>
  </si>
  <si>
    <t>17</t>
  </si>
  <si>
    <t>명시 기간 첫 연도 = 현금흐름 시작 연도</t>
  </si>
  <si>
    <t>18</t>
  </si>
  <si>
    <t>유통주식수 &gt; 0</t>
  </si>
  <si>
    <t>19</t>
  </si>
  <si>
    <t>구조 판단 비율 단위 점검: 시장 주식가치 ÷ (종가 × 주식수 ÷ 단위)가 0.5~2배</t>
  </si>
  <si>
    <t>P4-X: 우선주 가격 차이로 정확히 1은 아님. 단위 오류면 100만 배</t>
  </si>
  <si>
    <t>20</t>
  </si>
  <si>
    <t>수식 오류 0개: Cover</t>
  </si>
  <si>
    <t>0</t>
  </si>
  <si>
    <t>#REF!·#DIV/0!·#NAME?·#VALUE! 등</t>
  </si>
  <si>
    <t>21</t>
  </si>
  <si>
    <t>수식 오류 0개: Forecast</t>
  </si>
  <si>
    <t>22</t>
  </si>
  <si>
    <t>수식 오류 0개: WACC</t>
  </si>
  <si>
    <t>23</t>
  </si>
  <si>
    <t>수식 오류 0개: DCF</t>
  </si>
  <si>
    <t>24</t>
  </si>
  <si>
    <t>수식 오류 0개: Bridge</t>
  </si>
  <si>
    <t>25</t>
  </si>
  <si>
    <t>수식 오류 0개: Peers</t>
  </si>
  <si>
    <t>26</t>
  </si>
  <si>
    <t>수식 오류 0개: Premium</t>
  </si>
  <si>
    <t>27</t>
  </si>
  <si>
    <t>수식 오류 0개: Scenarios</t>
  </si>
  <si>
    <t>28</t>
  </si>
  <si>
    <t>수식 오류 0개: Scen_Calc</t>
  </si>
  <si>
    <t>29</t>
  </si>
  <si>
    <t>수식 오류 0개: Football</t>
  </si>
  <si>
    <t>30</t>
  </si>
  <si>
    <t>수식 오류 0개: Convergence</t>
  </si>
  <si>
    <t>31</t>
  </si>
  <si>
    <t>피어 표본 수: EV/Sales</t>
  </si>
  <si>
    <t>32</t>
  </si>
  <si>
    <t>피어 표본 수: EV/EBITDA</t>
  </si>
  <si>
    <t>33</t>
  </si>
  <si>
    <t>피어 표본 수: PER</t>
  </si>
  <si>
    <t>34</t>
  </si>
  <si>
    <t>피어 표본 수: PBR</t>
  </si>
  <si>
    <t>35</t>
  </si>
  <si>
    <t>베타 신뢰성(피어 R² 중앙값 ≥ 기준)</t>
  </si>
  <si>
    <t>36</t>
  </si>
  <si>
    <t>RONIC 계산값 사용(대체 없음)</t>
  </si>
  <si>
    <t>37</t>
  </si>
  <si>
    <t>블록 프리미엄 적용 표본 수 ≥ 10</t>
  </si>
  <si>
    <t>38</t>
  </si>
  <si>
    <t>엔진 대조(선택 칸): 주당 가치(원, Gordon)</t>
  </si>
  <si>
    <t>INFO</t>
  </si>
  <si>
    <t>허용 오차 1. Rf 10년 선택이면 N/A(아래 Rf 10년 대조)</t>
  </si>
  <si>
    <t>39</t>
  </si>
  <si>
    <t>엔진 대조(선택 칸): WACC</t>
  </si>
  <si>
    <t>허용 오차 1e-06</t>
  </si>
  <si>
    <t>40</t>
  </si>
  <si>
    <t>엔진 대조(선택 칸): RONIC</t>
  </si>
  <si>
    <t>41</t>
  </si>
  <si>
    <t>엔진 대조(선택 칸): 영구가치 비중</t>
  </si>
  <si>
    <t>42</t>
  </si>
  <si>
    <t>엔진 대조(선택 칸): Gordon 함의 EV/EBITDA</t>
  </si>
  <si>
    <t>허용 오차 0.0001</t>
  </si>
  <si>
    <t>43</t>
  </si>
  <si>
    <t>엔진 대조(선택 칸): 주당 가치(원, Exit)</t>
  </si>
  <si>
    <t>허용 오차 1</t>
  </si>
  <si>
    <t>44</t>
  </si>
  <si>
    <t>엔진 대조(선택 칸): EV(평가기준일, 백만원)</t>
  </si>
  <si>
    <t>허용 오차 0.01</t>
  </si>
  <si>
    <t>45</t>
  </si>
  <si>
    <t>엔진 대조(선택 칸): Exit 함의 영구성장률</t>
  </si>
  <si>
    <t>46</t>
  </si>
  <si>
    <t>엔진 대조(선택 칸): 영구가치 비중(Exit)</t>
  </si>
  <si>
    <t>47</t>
  </si>
  <si>
    <t>엔진 대조: 시나리오 4 × SRP 3 주당 최대 차이(원)</t>
  </si>
  <si>
    <t>허용 오차 1원</t>
  </si>
  <si>
    <t>48</t>
  </si>
  <si>
    <t>엔진 대조(Rf 10년 선택 시): 시나리오 × SRP 주당 최대 차이(원)</t>
  </si>
  <si>
    <t>P6-A. Inputs 'Rf 만기 선택' = 10일 때 A 표 = G-2</t>
  </si>
  <si>
    <t>49</t>
  </si>
  <si>
    <t>Rf 만기 선택이 5 또는 10</t>
  </si>
  <si>
    <t>50</t>
  </si>
  <si>
    <t>엔진 대조: βu 중앙값</t>
  </si>
  <si>
    <t>51</t>
  </si>
  <si>
    <t>엔진 대조: EV/Sales 주당 사분위</t>
  </si>
  <si>
    <t>52</t>
  </si>
  <si>
    <t>엔진 대조: EV/EBITDA 주당 사분위</t>
  </si>
  <si>
    <t>53</t>
  </si>
  <si>
    <t>엔진 대조: PER 주당 사분위</t>
  </si>
  <si>
    <t>54</t>
  </si>
  <si>
    <t>엔진 대조: PBR 주당 사분위</t>
  </si>
  <si>
    <t>55</t>
  </si>
  <si>
    <t>엔진 대조: 블록 1주당 띠</t>
  </si>
  <si>
    <t>56</t>
  </si>
  <si>
    <t>엔진 대조: D6 method·이유</t>
  </si>
  <si>
    <t>57</t>
  </si>
  <si>
    <t>데이터 표 C: 엑셀 계산 값 − 엔진 격자 최대 차이(기본·SRP 0%일 때만)</t>
  </si>
  <si>
    <t>엑셀이 데이터 표를 다시 계산한 뒤 의미가 있다(formulas 재계산은 데이터 표 미지원 → 저장된 엔진 값)</t>
  </si>
  <si>
    <t>58</t>
  </si>
  <si>
    <t>데이터 표 C: 중심 칸 = 살아 있는 모델 주당(기본·SRP 0%일 때만)</t>
  </si>
  <si>
    <t>59</t>
  </si>
  <si>
    <t>데이터 표 D: 엑셀 계산 값 − 엔진 격자 최대 차이(기본·SRP 0%일 때만)</t>
  </si>
  <si>
    <t>60</t>
  </si>
  <si>
    <t>데이터 표 D: 중심 칸 = 살아 있는 모델 주당(기본·SRP 0%일 때만)</t>
  </si>
  <si>
    <t>61</t>
  </si>
  <si>
    <t>데이터 표 M: 엑셀 계산 값 − 엔진 격자 최대 차이(기본·SRP 0%일 때만)</t>
  </si>
  <si>
    <t>62</t>
  </si>
  <si>
    <t>데이터 표 M: 중심 칸 = 살아 있는 모델 주당(기본·SRP 0%일 때만)</t>
  </si>
  <si>
    <t>63</t>
  </si>
  <si>
    <t>데이터 표 G: 엑셀 계산 값 − 엔진 격자 최대 차이(기본·SRP 0%일 때만)</t>
  </si>
  <si>
    <t>64</t>
  </si>
  <si>
    <t>데이터 표 G: 중심 칸 = 살아 있는 모델 주당(기본·SRP 0%일 때만)</t>
  </si>
  <si>
    <t>65</t>
  </si>
  <si>
    <t>수렴 시험: 살아 있는 C3 판정 = 엔진 기록(C3 — 공통 규칙 수정 후)</t>
  </si>
  <si>
    <t>66</t>
  </si>
  <si>
    <t>수렴 시험: 살아 있는 기본 DCF = 엔진 C3 주당</t>
  </si>
  <si>
    <t>67</t>
  </si>
  <si>
    <t>수렴 시험: 피어 EV/EBITDA 사분위 = 엔진 범위</t>
  </si>
  <si>
    <t>68</t>
  </si>
  <si>
    <t>수렴 시험: 보완 전 표 사분위 = 엔진 C2 범위</t>
  </si>
  <si>
    <t>69</t>
  </si>
  <si>
    <t>엔진 표 중심값(WACC×g) = 살아 있는 표 기본·SRP 0%</t>
  </si>
  <si>
    <t>MASTER CHECK</t>
  </si>
  <si>
    <t>Diagnostics — 결과 신뢰도 진단과 사람 판단 우선순위 (값은 바꾸지 않음)</t>
  </si>
  <si>
    <t>회색 = 엔진 계산값(config/p7b2.yaml diagnostics · src/pipeline/diagnose.py), 신호등은 살아 있는 수식. 대안은 후보·민감도일 뿐 기본값은 그대로(사전 고정 0dad3cc)</t>
  </si>
  <si>
    <t>A. 신호등(기본 시나리오 · SRP 열 1)</t>
  </si>
  <si>
    <t>DCF 주당(원, Scenarios A-1 기본 · SRP 열 1)</t>
  </si>
  <si>
    <t xml:space="preserve">  엔진 기록 DCF 주당(원)</t>
  </si>
  <si>
    <t>피어 범위 기준 배수</t>
  </si>
  <si>
    <t>EV/EBITDA n &lt; 3이면 EV/Sales</t>
  </si>
  <si>
    <t>피어 사분위 q25 주당(원)</t>
  </si>
  <si>
    <t>Peers 시트와 같은 정의(엔진 값)</t>
  </si>
  <si>
    <t>피어 중앙값 주당(원)</t>
  </si>
  <si>
    <t>피어 사분위 q75 주당(원)</t>
  </si>
  <si>
    <t>피어 n</t>
  </si>
  <si>
    <t>피어 범위 유효(1 = 해석 가능, 0 = 해석 불가)</t>
  </si>
  <si>
    <t>config/p7b3.yaml peer_validity</t>
  </si>
  <si>
    <t>기준일 종가(원)</t>
  </si>
  <si>
    <t>DCF ÷ 종가</t>
  </si>
  <si>
    <t>임계값: 피어 노랑 하한 배수(× q25)</t>
  </si>
  <si>
    <t>사전 고정</t>
  </si>
  <si>
    <t>임계값: 피어 노랑 상한 배수(× q75)</t>
  </si>
  <si>
    <t>임계값: 시장 초록 [하한, 상한]</t>
  </si>
  <si>
    <t>상한 1.5</t>
  </si>
  <si>
    <t xml:space="preserve">  시장 초록 상한</t>
  </si>
  <si>
    <t>임계값: 시장 노랑 [하한, 상한]</t>
  </si>
  <si>
    <t>상한 2.0</t>
  </si>
  <si>
    <t xml:space="preserve">  시장 노랑 상한</t>
  </si>
  <si>
    <t>신호: DCF vs 피어 범위</t>
  </si>
  <si>
    <t>초록 = 사분위 안</t>
  </si>
  <si>
    <t>신호: DCF ÷ 종가</t>
  </si>
  <si>
    <t>종합 신호(나쁜 쪽)</t>
  </si>
  <si>
    <t xml:space="preserve">  엔진 판정</t>
  </si>
  <si>
    <t>빨강</t>
  </si>
  <si>
    <t xml:space="preserve">  엔진 판정 = 살아 있는 판정</t>
  </si>
  <si>
    <t>OK / DIFF</t>
  </si>
  <si>
    <t>B. 역산 — 피어 중앙값 주당을 맞추려면(하나만 움직임, 엔진 값)</t>
  </si>
  <si>
    <t>기본 값</t>
  </si>
  <si>
    <t>필요 값</t>
  </si>
  <si>
    <t>차이</t>
  </si>
  <si>
    <t>목표 주당(원) — EV/EBITDA</t>
  </si>
  <si>
    <t>정상 영업이익률</t>
  </si>
  <si>
    <t>범위 안 해 없음</t>
  </si>
  <si>
    <t>출발 성장률</t>
  </si>
  <si>
    <t>역산 정확도: 다시 계산한 주당 − 목표(원, 최대 절댓값)</t>
  </si>
  <si>
    <t>C. 주식가치 구성(백만원, 평가기준일)</t>
  </si>
  <si>
    <t>금액(백만원)</t>
  </si>
  <si>
    <t>주식가치 대비</t>
  </si>
  <si>
    <t>EV</t>
  </si>
  <si>
    <t xml:space="preserve">  영구가치 현재가치(Gordon)</t>
  </si>
  <si>
    <t xml:space="preserve">  명시·체감 기간 현재가치</t>
  </si>
  <si>
    <t>+ 현금성</t>
  </si>
  <si>
    <t>+ 비영업자산</t>
  </si>
  <si>
    <t>− 총차입금(리스 포함)</t>
  </si>
  <si>
    <t>− 비지배지분</t>
  </si>
  <si>
    <t>= 주식가치</t>
  </si>
  <si>
    <t>D. 데이터 이상 신호(사전 고정 기준)</t>
  </si>
  <si>
    <t>신호</t>
  </si>
  <si>
    <t>해당</t>
  </si>
  <si>
    <t>정상 이익률 계산 연도(FY2023~2025)에 영업손실 연도 포함</t>
  </si>
  <si>
    <t>15억, 1억, -18억</t>
  </si>
  <si>
    <t>FY2021~2025 영업이익률 표준편차 &gt; 2 × 시나리오 이익률 폭(2%p) = 4%p</t>
  </si>
  <si>
    <t>FY2021~2025 매출 성장률 표준편차 &gt; 2 × 시나리오 성장률 폭(2%p) = 4%p</t>
  </si>
  <si>
    <t>과거 3년 ROIC(RONIC 상한) &lt; 기본 WACC</t>
  </si>
  <si>
    <t>영구가치 비중 &gt; 75% 또는 &lt; 0%</t>
  </si>
  <si>
    <t>브리지 항목 하나의 절댓값 &gt; 주식가치의 50%</t>
  </si>
  <si>
    <t>시나리오 × SRP 9칸 중 주당 &lt; 0인 칸이 있음</t>
  </si>
  <si>
    <t>E. 정상 이익률 후보(표시만, 기본값은 과거 3년 평균 그대로)</t>
  </si>
  <si>
    <t>후보</t>
  </si>
  <si>
    <t>이익률</t>
  </si>
  <si>
    <t>기본 대비(원)</t>
  </si>
  <si>
    <t>손실 연도 제외 3년 평균(FY2023~2025 중 영업이익 &gt; 0인 해)</t>
  </si>
  <si>
    <t>5년 중앙값(FY2021~2025)</t>
  </si>
  <si>
    <t>피어 LTM 영업이익률 중앙값(포함 피어)</t>
  </si>
  <si>
    <t>F. 민감도(기본값 그대로, 다른 선택의 주당)</t>
  </si>
  <si>
    <t>고객 자금 성격 부채(백만원): 예수금 8</t>
  </si>
  <si>
    <t>영업용 현금 = min(현금성, 고객 자금 부채) → 브리지에서 뺌(백만원)</t>
  </si>
  <si>
    <t>비지배 장부(백만원) — 기본</t>
  </si>
  <si>
    <t>(a) 비례법: 비지배 장부 ÷ 자본총계</t>
  </si>
  <si>
    <t>(b) 비지배 장부 × 피어 P/B 중앙값</t>
  </si>
  <si>
    <t>G. 사람 판단 목록 — 다른 선택의 주당 영향이 큰 순(★ = 상위 5)</t>
  </si>
  <si>
    <t>순위</t>
  </si>
  <si>
    <t>범주</t>
  </si>
  <si>
    <t>다른 선택</t>
  </si>
  <si>
    <t>주당 차이(원)</t>
  </si>
  <si>
    <t>기본 대비</t>
  </si>
  <si>
    <t>1 ★</t>
  </si>
  <si>
    <t>상장 관계기업</t>
  </si>
  <si>
    <t>지주회사(별도 매출 ÷ 연결 매출 3% &lt; 25%(지주형)): 상장 관계기업 1곳을 시가로 반영</t>
  </si>
  <si>
    <t>구조 확인(상장 관계기업 시가·지분 할인)</t>
  </si>
  <si>
    <t>2 ★</t>
  </si>
  <si>
    <t>실적 전환</t>
  </si>
  <si>
    <t>LTM 영업이익률 -101.4% vs 5년 중앙값 1.5%</t>
  </si>
  <si>
    <t>후보 없음(범위 밖: -101.40%)</t>
  </si>
  <si>
    <t>3 ★</t>
  </si>
  <si>
    <t>SOTP</t>
  </si>
  <si>
    <t>상장 종속회사 지분 할인</t>
  </si>
  <si>
    <t>상장 종속회사 지분 할인 50%(기본 30%)</t>
  </si>
  <si>
    <t>4 ★</t>
  </si>
  <si>
    <t>상장 관계기업 시가 반영</t>
  </si>
  <si>
    <t>상장 관계기업을 장부가로 둠(시가 반영 안 함)</t>
  </si>
  <si>
    <t>5 ★</t>
  </si>
  <si>
    <t>상장 관계기업 지분 할인(기본 0%)</t>
  </si>
  <si>
    <t>상장 관계기업 지분 할인 50%(기본 0%)</t>
  </si>
  <si>
    <t>비경상 손익</t>
  </si>
  <si>
    <t>정상화 조정 필요 여부</t>
  </si>
  <si>
    <t>정상 이익률 손실 연도 제외 3년 평균(FY2023~2025 중 영업이익 &gt; 0인 해) 16.72%(기본 1.45%)</t>
  </si>
  <si>
    <t>기본 경로</t>
  </si>
  <si>
    <t>기본 경로 v1(대안)</t>
  </si>
  <si>
    <t>기본 경로 v1(3년 평균 이익률 -5.08%, 매출 CAGR 0.81%)</t>
  </si>
  <si>
    <t>이익률 수렴</t>
  </si>
  <si>
    <t>피어 쪽 수렴 비율</t>
  </si>
  <si>
    <t>수렴 비율 0%(기본 50%, 피어 이익률 중앙값 12.4% 쪽)</t>
  </si>
  <si>
    <t>시나리오 폭</t>
  </si>
  <si>
    <t>±2%p(성장·이익률) 기본값, g 2%</t>
  </si>
  <si>
    <t>낙관(+2%p)</t>
  </si>
  <si>
    <t>할인율</t>
  </si>
  <si>
    <t>SRP 열</t>
  </si>
  <si>
    <t>SRP 2%</t>
  </si>
  <si>
    <t>MRP</t>
  </si>
  <si>
    <t>MRP 7%(기본 8%, 한공회 가이던스 7~9%)</t>
  </si>
  <si>
    <t>수렴 도달 연도</t>
  </si>
  <si>
    <t>도달 연도 2030(기본 2032)</t>
  </si>
  <si>
    <t>재투자 비율</t>
  </si>
  <si>
    <t>D&amp;A ÷ 매출(3년 평균)</t>
  </si>
  <si>
    <t>D&amp;A ÷ 매출 5년 평균 2.92%(FY2021~2025, 기본 3년 평균 2.42%)</t>
  </si>
  <si>
    <t>CAPEX ÷ 매출(3년 평균)</t>
  </si>
  <si>
    <t>CAPEX ÷ 매출 5년 평균 0.84%(FY2021~2025, 기본 3년 평균 1.31%)</t>
  </si>
  <si>
    <t>Rf 만기</t>
  </si>
  <si>
    <t>Rf 국고채 10년</t>
  </si>
  <si>
    <t>목표 D/E(자기 평균)</t>
  </si>
  <si>
    <t>피어 D/E 중앙값 0.015배(기본 자기 평균 0.004배)</t>
  </si>
  <si>
    <t>비영업·현금성 분류</t>
  </si>
  <si>
    <t>고객 자금 성격 현금</t>
  </si>
  <si>
    <t>영업용 현금 0억을 브리지에서 뺌</t>
  </si>
  <si>
    <t>g 2%(사람 값 기본)</t>
  </si>
  <si>
    <t>g 3%</t>
  </si>
  <si>
    <t>Kd 근거</t>
  </si>
  <si>
    <t>신용등급 자동 탐색 안 함</t>
  </si>
  <si>
    <t>세전 Kd 4.70%(AA- 3년, 기본 10.51%)</t>
  </si>
  <si>
    <t>상위 5 항목 주당 영향 비중(영향 값 있는 항목 기준, P7-B5)</t>
  </si>
  <si>
    <t>계산할 수 없는 항목(원래 순서)</t>
  </si>
  <si>
    <t>우선주 처리</t>
  </si>
  <si>
    <t>주식의 총수 표에 우선주 없음 — 확인만</t>
  </si>
  <si>
    <t>피어 유사성</t>
  </si>
  <si>
    <t>자동: KSIC 71310(앞 2자리 71), 시가총액 대상의 (공개 비표시)배, FY2023~2025 영업이익 흑자 — 사업 유사성 사람 검토 | 사업 개요: 2단계 피어 카드의 공시 인용 참고</t>
  </si>
  <si>
    <t>자동: KSIC 716(앞 2자리 71), 시가총액 대상의 (공개 비표시)배, FY2023~2025 영업이익 흑자 — 사업 유사성 사람 검토 | 사업 개요: 2단계 피어 카드의 공시 인용 참고</t>
  </si>
  <si>
    <t>상장 종속회사 지분 할인(기본 0%)</t>
  </si>
  <si>
    <t>지주회사 할인 30%·50% 민감도 — 평가 목적에 맞는 할인을 사람이 정함</t>
  </si>
  <si>
    <t>비상장 종속회사 장부가</t>
  </si>
  <si>
    <t>장부가(취득원가 기준일 수 있음) — 공정가치와 다를 수 있음(P/B 민감도 참고)</t>
  </si>
  <si>
    <t>기준일 뒤 주요 공시</t>
  </si>
  <si>
    <t>2026-07-01~기준일 공시 7건(제목만, 주요 단어 0건)</t>
  </si>
  <si>
    <t>반기보고서 (2026.06); 임원ㆍ주요주주특정증권등소유상황보고서; 주식등의대량보유상황보고서(일반)</t>
  </si>
  <si>
    <t>FY2022 세전이익 − 영업이익 = -110억(영업이익 -3억의 30% 초과): 영업외 손익 확인</t>
  </si>
  <si>
    <t>FY2023 세전이익 − 영업이익 = 34억(영업이익 15억의 30% 초과): 영업외 손익 확인</t>
  </si>
  <si>
    <t>FY2024 세전이익 − 영업이익 = -54억(영업이익 1억의 30% 초과): 영업외 손익 확인</t>
  </si>
  <si>
    <t>FY2025 세전이익 − 영업이익 = -31억(영업이익 -18억의 30% 초과): 영업외 손익 확인</t>
  </si>
  <si>
    <t>FY2021~2025 영업이익률 범위 -48.7%~41.4%(폭 5%p 초과): 일회성 손익 여부 확인</t>
  </si>
  <si>
    <t>보고서 사람 작성 칸</t>
  </si>
  <si>
    <t>평가방법 선택 근거·채택·가중치</t>
  </si>
  <si>
    <t>보고서 초안의 [사람 작성 칸]</t>
  </si>
  <si>
    <t>정상화 조정(비경상 손익)</t>
  </si>
  <si>
    <t>우발채무·비영업자산 명세 확인</t>
  </si>
  <si>
    <t>DLOM·경영권 프리미엄 조정 여부와 근거</t>
  </si>
  <si>
    <t>주요 가정의 합리성</t>
  </si>
  <si>
    <t>평가상 한계 보완</t>
  </si>
  <si>
    <t>구조(추가)</t>
  </si>
  <si>
    <t>상장 피투자회사 ㈜인피니트헬스케어 48.7%</t>
  </si>
  <si>
    <t>사실상 지배(연결) 여부 확인 — 구조 규칙은 지분 &gt; 50%만 상장 종속회사로 봄</t>
  </si>
  <si>
    <t>상장 피투자회사 키네마스터(주) 30.5%</t>
  </si>
  <si>
    <t>블록 프리미엄 입력</t>
  </si>
  <si>
    <t>지분 구간 25~50%, 인수자 전략적, 2015~2026</t>
  </si>
  <si>
    <t>기본값 — 평가 목적에 맞는지 확인</t>
  </si>
  <si>
    <t>운전자본 회전일수(3년 평균)</t>
  </si>
  <si>
    <t>자동 진단(config/p7b2.yaml ranking)</t>
  </si>
  <si>
    <t>H. 대표값 판정(유효성 가드, 사전 고정 91a84dd)</t>
  </si>
  <si>
    <t>대표값</t>
  </si>
  <si>
    <t>표시</t>
  </si>
  <si>
    <t>보류면 화면·요약에는 숫자 대신 사유와 1순위 판단</t>
  </si>
  <si>
    <t>I. 기본 경로 v2 vs v1(대안) — 기본 시나리오·SRP 열 1</t>
  </si>
  <si>
    <t>v2 주당(원, 이 모델)</t>
  </si>
  <si>
    <t>v1 주당(원, 3년 평균 이익률·5년 CAGR)</t>
  </si>
  <si>
    <t>v2 출발 이익률(5년 중앙값)</t>
  </si>
  <si>
    <t>v2 피어 이익률 중앙값</t>
  </si>
  <si>
    <t>v2 2032 이동 폭</t>
  </si>
  <si>
    <t>v2 출발 성장률</t>
  </si>
  <si>
    <t>v1 신호(피어/시장)</t>
  </si>
  <si>
    <t>회색/빨강</t>
  </si>
  <si>
    <t>J. D&amp;A 출처(기간별, 백만원) — 원문/XBRL → 보완 원문 → 추정</t>
  </si>
  <si>
    <t>D&amp;A</t>
  </si>
  <si>
    <t>추정</t>
  </si>
  <si>
    <t>FY2021</t>
  </si>
  <si>
    <t>원문/XBRL</t>
  </si>
  <si>
    <t>FY2022</t>
  </si>
  <si>
    <t>H12025</t>
  </si>
  <si>
    <t>H12026</t>
  </si>
  <si>
    <t>K. SOTP 구성(백만원) — 모회사(별도) 영업가치 + 종속회사 지분</t>
  </si>
  <si>
    <t>모회사 영업가치(EV, 별도 기준)</t>
  </si>
  <si>
    <t>상장 종속회사 지분 시가(할인 전)</t>
  </si>
  <si>
    <t>'종속' 투자 줄 합계(비영업에서 뺌)</t>
  </si>
  <si>
    <t>상장 지분이 주식가치에서 차지하는 비중</t>
  </si>
  <si>
    <t>모회사(종속회사 제외)가 차지하는 비중</t>
  </si>
  <si>
    <t>상장 지분 할인 30%일 때 주당(원)</t>
  </si>
  <si>
    <t>상장 지분 할인 50%일 때 주당(원)</t>
  </si>
  <si>
    <t>L. 적자 경로·실적 전환·SOTP 가드·계정 오표기(사전 고정 401c38d)</t>
  </si>
  <si>
    <t>실적 전환: LTM 영업이익률</t>
  </si>
  <si>
    <t>실적 전환: 5년 중앙값(기본 출발값)</t>
  </si>
  <si>
    <t>실적 전환: LTM 출발 후보 주당(원)</t>
  </si>
  <si>
    <t>SOTP 가드</t>
  </si>
  <si>
    <t>해당 없음</t>
  </si>
  <si>
    <t>계정 오표기(원문 대조 재분류, 총차입금에 더함·FS_Hist 값에 포함, 백만원)</t>
  </si>
  <si>
    <t>원문 줄</t>
  </si>
  <si>
    <t>API 줄(접수번호)</t>
  </si>
  <si>
    <t>없음</t>
  </si>
  <si>
    <t>Judgements — 사람 판단 반영 내역 (평가 세션 035610_20260930_001, 확정 v1)</t>
  </si>
  <si>
    <t>자동 초안 값 → 사람 확정값. 확정값은 Inputs '사람 확정값' 또는 각 입력 칸에 들어가 계산 시트가 읽는다(살아 있는 수식)</t>
  </si>
  <si>
    <t>가정</t>
  </si>
  <si>
    <t>자동값</t>
  </si>
  <si>
    <t>확정값</t>
  </si>
  <si>
    <t>버전</t>
  </si>
  <si>
    <t>시각</t>
  </si>
  <si>
    <t>상장 지분 할인</t>
  </si>
  <si>
    <t>0.00%</t>
  </si>
  <si>
    <t>30.00%</t>
  </si>
  <si>
    <t>예시: 후보 있는 최상위 판단의 첫 후보 채택</t>
  </si>
  <si>
    <t>v1</t>
  </si>
  <si>
    <t>2026-10-24T02:02:27</t>
  </si>
  <si>
    <t>그대로 유지한 판단 0건 · 남은 미처리 43건</t>
  </si>
  <si>
    <t>자동 초안 대표값 판정(기록): 표시</t>
  </si>
  <si>
    <t>모델 안내</t>
  </si>
  <si>
    <t>시트 지도</t>
  </si>
  <si>
    <t>Inputs</t>
  </si>
  <si>
    <t>모든 입력값(파란 글씨·노란 바탕). 출처·기준일·상태(✅/🔸/⚠️) 열. 시나리오·SRP·RONIC 규칙 선택 칸이 맨 위</t>
  </si>
  <si>
    <t>FS_Hist</t>
  </si>
  <si>
    <t>엔진이 쓴 과거 재무(모회사 별도, 연결 2026-06-30)와 부문 주석, 열마다 DART 접수번호</t>
  </si>
  <si>
    <t>Forecast</t>
  </si>
  <si>
    <t>선택한 시나리오의 2H26~2040 예측: 매출·EBIT·D&amp;A·CAPEX·ΔNWC·누진 세금·NOPAT·FCFF. 2032까지 명시, 2033~2040 체감</t>
  </si>
  <si>
    <t>피어 베타(원 β → Blume → Hamada 언레버 → 중앙값) → 리레버 → Ke, Kd 규칙(등급·Rf 하한), WACC, R² 경고</t>
  </si>
  <si>
    <t>DCF</t>
  </si>
  <si>
    <t>할인계수(mid-year, 6/30 할인 → 9/30 이월), RONIC, 가치동인 영구가치, EV, 영구가치 비중, 함의 배수, Exit 병행</t>
  </si>
  <si>
    <t>Bridge</t>
  </si>
  <si>
    <t>연결 EV − 순차입금(리스 포함) + 비영업 − 비지배 → 주당 가치. 계열사 대여금 표시·토글, 구조 판단</t>
  </si>
  <si>
    <t>Peers</t>
  </si>
  <si>
    <t>피어 배수 4종(LTM), N/M 처리, 사분위(QUARTILE.INC) → 주당 가치</t>
  </si>
  <si>
    <t>Premium</t>
  </si>
  <si>
    <t>시총 백분위와 D6 적용 규칙(method·이유) → 20일 VWAP × (1+프리미엄) 블록 1주당 범위, 상증법 할증 비교</t>
  </si>
  <si>
    <t>Scenarios</t>
  </si>
  <si>
    <t>시나리오 3 × SRP 3 표(살아 있는 수식, Scen_Calc), 데이터 표 2개(WACC×g, 성장×이익률, 엑셀 What-If), 역DCF(엔진 값)</t>
  </si>
  <si>
    <t>Scen_Calc</t>
  </si>
  <si>
    <t>Scenarios 표를 계산하는 시나리오별 블록(Forecast와 같은 수식, 시나리오 고정)</t>
  </si>
  <si>
    <t>Football</t>
  </si>
  <si>
    <t>방법별 주당 범위 그림(수식 셀 참조) + 기준일 종가 선</t>
  </si>
  <si>
    <t>Convergence</t>
  </si>
  <si>
    <t>수렴 시험(사전 고정 기준): 엔진 기록 판정(C2 1차, C3)과 살아 있는 모델 재계산</t>
  </si>
  <si>
    <t>Checks</t>
  </si>
  <si>
    <t>항목별 check와 master check(전부 OK면 OK). INFO는 엔진 대조(입력을 바꾸면 달라지는 것이 정상)</t>
  </si>
  <si>
    <t>색 규칙</t>
  </si>
  <si>
    <t>파란 글씨·노란 바탕 = 입력 / 검정 = 같은 시트 수식 / 초록 = 다른 시트 참조 / 회색 기울임 = 엔진 값(수식 아님)</t>
  </si>
  <si>
    <t>금액 백만원, 주당 값 원, 비율 %. 열 머리·행 이름에 단위 표시</t>
  </si>
  <si>
    <t>Inputs의 '시나리오 선택' 칸에서 비관/기본/낙관 중 고른다(목록). Forecast·DCF·Bridge가 바뀐다</t>
  </si>
  <si>
    <t>SRP 선택</t>
  </si>
  <si>
    <t>Inputs의 'SRP 선택' 칸에서 0%/1%/2% 중 고른다. 표 전체(3 × 3)는 Scenarios 시트에 항상 같이 나온다</t>
  </si>
  <si>
    <t>check 읽는 법</t>
  </si>
  <si>
    <t>Checks 시트: OK = 통과, ERR = 모델 오류(master check가 ERR), WARN = 주의(표본 수 등), INFO = 엔진 값과의 대조</t>
  </si>
  <si>
    <t>생성 시 고정</t>
  </si>
  <si>
    <t>기간 열 수(명시 끝 연도·체감 연수)는 생성 시 고정. 바꾸려면 config를 고치고 다시 생성(Checks에 표시)</t>
  </si>
  <si>
    <t>데이터 표</t>
  </si>
  <si>
    <t>WACC×g, 성장×이익률은 엑셀 데이터 표({=TABLE()})다. 입력 칸(WaccOvr 등)은 Scenarios 시트에 있고 비워 둔다. 계산 옵션이 '데이터 표 제외 자동'이면 F9. 역DCF는 엔진 값</t>
  </si>
  <si>
    <t>KRX 자료</t>
  </si>
  <si>
    <t>종가·시가총액·20일 VWAP·베타 회귀 결과·시총 백분위는 기준일 단일 값·집계값만 넣었다(시세 시계열 없음). 출처 한국거래소 통계정보</t>
  </si>
  <si>
    <t>Rf 만기 선택(P6-A)</t>
  </si>
  <si>
    <t>Inputs의 'Rf 만기 선택' 칸: 5 = 국고채 5년(기본, 사전 고정 결과) / 10 = 국고채 10년. 10이면 모델 전체(Ke·Kd 하한)가 10년 값으로 바뀌고 Checks의 'Rf 10년' 대조가 Scenarios G-2(엔진)와 비교한다. 기본 결과를 바꾸지 않고 보려면 Scenarios G-1 데이터 표</t>
  </si>
  <si>
    <t>P5-B 참고값(P6-A)</t>
  </si>
  <si>
    <t>Forecast 사업계획 검증 옆 달성률 표, Inputs SRP 옆 한공회 인용 표는 스팩 합병 외부평가 의견서 집계(회색, 표시만). 자동 감액·경고 판정 없음</t>
  </si>
  <si>
    <t>솔본 (035610) 주식가치 산정 모델 (자동 생성 초안)</t>
  </si>
  <si>
    <t>자동 생성 초안. 기계적 가치산정 결과이며 전문가 판단을 거친 가치평가(평가보고서)가 아님. 투자 권유 아님</t>
  </si>
  <si>
    <t>예시 입력 시세(실제 종가 아님) — 결과는 가정 하의 추정 내재가치 예시</t>
  </si>
  <si>
    <t>평가대상</t>
  </si>
  <si>
    <t>솔본 (KOSDAQ 035610, 법인 00249982)</t>
  </si>
  <si>
    <t>재무 기준일</t>
  </si>
  <si>
    <t>2026-06-30 (반기보고서)</t>
  </si>
  <si>
    <t>기준가치</t>
  </si>
  <si>
    <t>주당 내재가치 추정(가치산정, 가정 하의 예시). '공정가치'(K-IFRS 1113·자본시장법 공정가액)가 아님</t>
  </si>
  <si>
    <t>평가 전제</t>
  </si>
  <si>
    <t>계속기업</t>
  </si>
  <si>
    <t>목적</t>
  </si>
  <si>
    <t>방법론 예시·교육(실제 거래·공시용 아님)</t>
  </si>
  <si>
    <t>평가 구조</t>
  </si>
  <si>
    <t>연결 DCF − 비지배지분</t>
  </si>
  <si>
    <t>백만원(주당 값은 원). 비율은 %</t>
  </si>
  <si>
    <t>출처 표시</t>
  </si>
  <si>
    <t>재무: DART 접수번호 / 금리: ECOS 817Y002 / 시세·시가총액·VWAP·베타: 한국거래소 통계정보(기준일 단일 값·집계만)</t>
  </si>
  <si>
    <t>생성</t>
  </si>
  <si>
    <t>src/excel/build.py ← 공개 배포 작업 공간/sessions/035610_20260930_001/v1_public/valuation_035610_035610_20260930_001v1p.yaml (P4, 엔진 형태 mechanical). 결과 확인: Checks 시트의 master check</t>
  </si>
  <si>
    <t>현재 선택</t>
  </si>
  <si>
    <t>master check</t>
  </si>
  <si>
    <t>사람이 작성할 칸</t>
  </si>
  <si>
    <t>평가방법 선택 근거</t>
  </si>
  <si>
    <t>평가상 한계</t>
  </si>
  <si>
    <t>검토자·검토일</t>
  </si>
</sst>
</file>

<file path=xl/styles.xml><?xml version="1.0" encoding="utf-8"?>
<styleSheet xmlns="http://schemas.openxmlformats.org/spreadsheetml/2006/main">
  <numFmts count="11">
    <numFmt numFmtId="164" formatCode="0.00%"/>
    <numFmt numFmtId="165" formatCode="#,##0"/>
    <numFmt numFmtId="166" formatCode="yyyy-mm-dd"/>
    <numFmt numFmtId="167" formatCode="0.000%"/>
    <numFmt numFmtId="168" formatCode="0.0000"/>
    <numFmt numFmtId="169" formatCode="#,##0;[Red]-#,##0"/>
    <numFmt numFmtId="170" formatCode="#,##0.0;[Red]-#,##0.0"/>
    <numFmt numFmtId="171" formatCode="0.0"/>
    <numFmt numFmtId="172" formatCode="0.0%"/>
    <numFmt numFmtId="173" formatCode="0.000"/>
    <numFmt numFmtId="174" formatCode="0.00&quot;x&quot;"/>
  </numFmts>
  <fonts count="11">
    <font>
      <sz val="11"/>
      <color theme="1"/>
      <name val="Calibri"/>
      <family val="2"/>
      <scheme val="minor"/>
    </font>
    <font>
      <b/>
      <sz val="14"/>
      <color theme="1"/>
      <name val="맑은 고딕"/>
      <family val="2"/>
    </font>
    <font>
      <b/>
      <sz val="10"/>
      <color rgb="FFC0000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sz val="10"/>
      <color rgb="FF008000"/>
      <name val="맑은 고딕"/>
      <family val="2"/>
    </font>
    <font>
      <b/>
      <sz val="10"/>
      <color rgb="FF008000"/>
      <name val="맑은 고딕"/>
      <family val="2"/>
    </font>
    <font>
      <sz val="10"/>
      <color rgb="FF0000FF"/>
      <name val="맑은 고딕"/>
      <family val="2"/>
    </font>
    <font>
      <i/>
      <sz val="9"/>
      <color rgb="FF595959"/>
      <name val="맑은 고딕"/>
      <family val="2"/>
    </font>
    <font>
      <b/>
      <sz val="11"/>
      <color rgb="FF1F4E79"/>
      <name val="맑은 고딕"/>
      <family val="2"/>
    </font>
    <font>
      <i/>
      <sz val="10"/>
      <color rgb="FF7F7F7F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164" fontId="7" fillId="2" borderId="1" xfId="0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vertical="center"/>
    </xf>
    <xf numFmtId="166" fontId="7" fillId="2" borderId="1" xfId="0" applyNumberFormat="1" applyFont="1" applyFill="1" applyBorder="1" applyAlignment="1">
      <alignment vertical="center"/>
    </xf>
    <xf numFmtId="1" fontId="7" fillId="2" borderId="1" xfId="0" applyNumberFormat="1" applyFont="1" applyFill="1" applyBorder="1" applyAlignment="1">
      <alignment vertical="center"/>
    </xf>
    <xf numFmtId="167" fontId="7" fillId="2" borderId="1" xfId="0" applyNumberFormat="1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164" fontId="10" fillId="4" borderId="0" xfId="0" applyNumberFormat="1" applyFont="1" applyFill="1" applyAlignment="1">
      <alignment vertical="center"/>
    </xf>
    <xf numFmtId="165" fontId="10" fillId="4" borderId="0" xfId="0" applyNumberFormat="1" applyFont="1" applyFill="1" applyAlignment="1">
      <alignment vertical="center"/>
    </xf>
    <xf numFmtId="168" fontId="7" fillId="2" borderId="1" xfId="0" applyNumberFormat="1" applyFont="1" applyFill="1" applyBorder="1" applyAlignment="1">
      <alignment vertical="center"/>
    </xf>
    <xf numFmtId="169" fontId="7" fillId="2" borderId="1" xfId="0" applyNumberFormat="1" applyFont="1" applyFill="1" applyBorder="1" applyAlignment="1">
      <alignment vertical="center"/>
    </xf>
    <xf numFmtId="170" fontId="7" fillId="2" borderId="1" xfId="0" applyNumberFormat="1" applyFont="1" applyFill="1" applyBorder="1" applyAlignment="1">
      <alignment vertical="center"/>
    </xf>
    <xf numFmtId="171" fontId="7" fillId="2" borderId="1" xfId="0" applyNumberFormat="1" applyFont="1" applyFill="1" applyBorder="1" applyAlignment="1">
      <alignment vertical="center"/>
    </xf>
    <xf numFmtId="172" fontId="7" fillId="2" borderId="1" xfId="0" applyNumberFormat="1" applyFont="1" applyFill="1" applyBorder="1" applyAlignment="1">
      <alignment vertical="center"/>
    </xf>
    <xf numFmtId="173" fontId="7" fillId="2" borderId="1" xfId="0" applyNumberFormat="1" applyFont="1" applyFill="1" applyBorder="1" applyAlignment="1">
      <alignment vertical="center"/>
    </xf>
    <xf numFmtId="174" fontId="7" fillId="2" borderId="1" xfId="0" applyNumberFormat="1" applyFont="1" applyFill="1" applyBorder="1" applyAlignment="1">
      <alignment vertical="center"/>
    </xf>
    <xf numFmtId="170" fontId="5" fillId="0" borderId="0" xfId="0" applyNumberFormat="1" applyFont="1" applyAlignment="1">
      <alignment vertical="center"/>
    </xf>
    <xf numFmtId="172" fontId="5" fillId="0" borderId="0" xfId="0" applyNumberFormat="1" applyFont="1" applyAlignment="1">
      <alignment vertical="center"/>
    </xf>
    <xf numFmtId="172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171" fontId="4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70" fontId="4" fillId="0" borderId="0" xfId="0" applyNumberFormat="1" applyFont="1" applyAlignment="1">
      <alignment vertical="center"/>
    </xf>
    <xf numFmtId="172" fontId="10" fillId="4" borderId="0" xfId="0" applyNumberFormat="1" applyFont="1" applyFill="1" applyAlignment="1">
      <alignment vertical="center"/>
    </xf>
    <xf numFmtId="173" fontId="6" fillId="0" borderId="0" xfId="0" applyNumberFormat="1" applyFont="1" applyAlignment="1">
      <alignment vertical="center"/>
    </xf>
    <xf numFmtId="173" fontId="10" fillId="4" borderId="0" xfId="0" applyNumberFormat="1" applyFont="1" applyFill="1" applyAlignment="1">
      <alignment vertical="center"/>
    </xf>
    <xf numFmtId="173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73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70" fontId="6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74" fontId="4" fillId="0" borderId="0" xfId="0" applyNumberFormat="1" applyFont="1" applyAlignment="1">
      <alignment vertical="center"/>
    </xf>
    <xf numFmtId="174" fontId="5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169" fontId="6" fillId="0" borderId="0" xfId="0" applyNumberFormat="1" applyFont="1" applyAlignment="1">
      <alignment vertical="center"/>
    </xf>
    <xf numFmtId="169" fontId="5" fillId="0" borderId="0" xfId="0" applyNumberFormat="1" applyFont="1" applyAlignment="1">
      <alignment vertical="center"/>
    </xf>
    <xf numFmtId="169" fontId="10" fillId="4" borderId="0" xfId="0" applyNumberFormat="1" applyFont="1" applyFill="1" applyAlignment="1">
      <alignment vertical="center"/>
    </xf>
    <xf numFmtId="172" fontId="3" fillId="0" borderId="0" xfId="0" applyNumberFormat="1" applyFont="1" applyAlignment="1">
      <alignment vertical="center"/>
    </xf>
    <xf numFmtId="167" fontId="10" fillId="4" borderId="0" xfId="0" applyNumberFormat="1" applyFont="1" applyFill="1" applyAlignment="1">
      <alignment vertical="center"/>
    </xf>
    <xf numFmtId="174" fontId="10" fillId="4" borderId="0" xfId="0" applyNumberFormat="1" applyFont="1" applyFill="1" applyAlignment="1">
      <alignment vertical="center"/>
    </xf>
    <xf numFmtId="170" fontId="10" fillId="4" borderId="0" xfId="0" applyNumberFormat="1" applyFont="1" applyFill="1" applyAlignment="1">
      <alignment vertical="center"/>
    </xf>
    <xf numFmtId="168" fontId="10" fillId="4" borderId="0" xfId="0" applyNumberFormat="1" applyFont="1" applyFill="1" applyAlignment="1">
      <alignment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솔본 풋볼필드 (초안, 기준일 2026-09-30)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Football!$B$5</c:f>
              <c:strCache>
                <c:ptCount val="1"/>
                <c:pt idx="0">
                  <c:v>DCF 비관</c:v>
                </c:pt>
              </c:strCache>
            </c:strRef>
          </c:tx>
          <c:spPr>
            <a:ln w="114300">
              <a:solidFill>
                <a:srgbClr val="2A6F97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Football!$B$5</c:f>
                  <c:strCache>
                    <c:ptCount val="1"/>
                    <c:pt idx="0">
                      <c:v>DCF 비관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Football!$C$5:$D$5</c:f>
              <c:numCache>
                <c:formatCode>General</c:formatCode>
                <c:ptCount val="2"/>
                <c:pt idx="0">
                  <c:v>8690.328172529382</c:v>
                </c:pt>
                <c:pt idx="1">
                  <c:v>8702.440593663363</c:v>
                </c:pt>
              </c:numCache>
            </c:numRef>
          </c:xVal>
          <c:yVal>
            <c:numRef>
              <c:f>Football!$F$5:$G$5</c:f>
              <c:numCache>
                <c:formatCode>General</c:formatCod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yVal>
        </c:ser>
        <c:ser>
          <c:idx val="1"/>
          <c:order val="1"/>
          <c:tx>
            <c:strRef>
              <c:f>Football!$B$6</c:f>
              <c:strCache>
                <c:ptCount val="1"/>
                <c:pt idx="0">
                  <c:v>DCF 기본</c:v>
                </c:pt>
              </c:strCache>
            </c:strRef>
          </c:tx>
          <c:spPr>
            <a:ln w="114300">
              <a:solidFill>
                <a:srgbClr val="2A6F97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Football!$B$6</c:f>
                  <c:strCache>
                    <c:ptCount val="1"/>
                    <c:pt idx="0">
                      <c:v>DCF 기본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Football!$C$6:$D$6</c:f>
              <c:numCache>
                <c:formatCode>General</c:formatCode>
                <c:ptCount val="2"/>
                <c:pt idx="0">
                  <c:v>8716.493142480786</c:v>
                </c:pt>
                <c:pt idx="1">
                  <c:v>8733.86445114907</c:v>
                </c:pt>
              </c:numCache>
            </c:numRef>
          </c:xVal>
          <c:yVal>
            <c:numRef>
              <c:f>Football!$F$6:$G$6</c:f>
              <c:numCache>
                <c:formatCode>General</c:formatCode>
                <c:ptCount val="2"/>
                <c:pt idx="0">
                  <c:v>8.0</c:v>
                </c:pt>
                <c:pt idx="1">
                  <c:v>8.0</c:v>
                </c:pt>
              </c:numCache>
            </c:numRef>
          </c:yVal>
        </c:ser>
        <c:ser>
          <c:idx val="2"/>
          <c:order val="2"/>
          <c:tx>
            <c:strRef>
              <c:f>Football!$B$7</c:f>
              <c:strCache>
                <c:ptCount val="1"/>
                <c:pt idx="0">
                  <c:v>DCF 낙관</c:v>
                </c:pt>
              </c:strCache>
            </c:strRef>
          </c:tx>
          <c:spPr>
            <a:ln w="114300">
              <a:solidFill>
                <a:srgbClr val="2A6F97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Football!$B$7</c:f>
                  <c:strCache>
                    <c:ptCount val="1"/>
                    <c:pt idx="0">
                      <c:v>DCF 낙관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Football!$C$7:$D$7</c:f>
              <c:numCache>
                <c:formatCode>General</c:formatCode>
                <c:ptCount val="2"/>
                <c:pt idx="0">
                  <c:v>8744.426073758972</c:v>
                </c:pt>
                <c:pt idx="1">
                  <c:v>8767.506543663274</c:v>
                </c:pt>
              </c:numCache>
            </c:numRef>
          </c:xVal>
          <c:yVal>
            <c:numRef>
              <c:f>Football!$F$7:$G$7</c:f>
              <c:numCache>
                <c:formatCode>General</c:formatCode>
                <c:ptCount val="2"/>
                <c:pt idx="0">
                  <c:v>7.0</c:v>
                </c:pt>
                <c:pt idx="1">
                  <c:v>7.0</c:v>
                </c:pt>
              </c:numCache>
            </c:numRef>
          </c:yVal>
        </c:ser>
        <c:ser>
          <c:idx val="3"/>
          <c:order val="3"/>
          <c:tx>
            <c:strRef>
              <c:f>Football!$B$8</c:f>
              <c:strCache>
                <c:ptCount val="1"/>
                <c:pt idx="0">
                  <c:v>EV/EBITDA (n=3)</c:v>
                </c:pt>
              </c:strCache>
            </c:strRef>
          </c:tx>
          <c:spPr>
            <a:ln w="114300">
              <a:solidFill>
                <a:srgbClr val="61A5C2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Football!$B$8</c:f>
                  <c:strCache>
                    <c:ptCount val="1"/>
                    <c:pt idx="0">
                      <c:v>EV/EBITDA (n=3)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strRef>
              <c:f>Football!$C$8:$D$8</c:f>
              <c:strCache>
                <c:ptCount val="2"/>
                <c:pt idx="0">
                  <c:v>N/M</c:v>
                </c:pt>
                <c:pt idx="1">
                  <c:v>N/M</c:v>
                </c:pt>
              </c:strCache>
            </c:strRef>
          </c:xVal>
          <c:yVal>
            <c:numRef>
              <c:f>Football!$F$8:$G$8</c:f>
              <c:numCache>
                <c:formatCode>General</c:formatCode>
                <c:ptCount val="2"/>
                <c:pt idx="0">
                  <c:v>6.0</c:v>
                </c:pt>
                <c:pt idx="1">
                  <c:v>6.0</c:v>
                </c:pt>
              </c:numCache>
            </c:numRef>
          </c:yVal>
        </c:ser>
        <c:ser>
          <c:idx val="4"/>
          <c:order val="4"/>
          <c:tx>
            <c:strRef>
              <c:f>Football!$B$9</c:f>
              <c:strCache>
                <c:ptCount val="1"/>
                <c:pt idx="0">
                  <c:v>PER (n=5)</c:v>
                </c:pt>
              </c:strCache>
            </c:strRef>
          </c:tx>
          <c:spPr>
            <a:ln w="114300">
              <a:solidFill>
                <a:srgbClr val="61A5C2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Football!$B$9</c:f>
                  <c:strCache>
                    <c:ptCount val="1"/>
                    <c:pt idx="0">
                      <c:v>PER (n=5)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strRef>
              <c:f>Football!$C$9:$D$9</c:f>
              <c:strCache>
                <c:ptCount val="2"/>
                <c:pt idx="0">
                  <c:v>N/M</c:v>
                </c:pt>
                <c:pt idx="1">
                  <c:v>N/M</c:v>
                </c:pt>
              </c:strCache>
            </c:strRef>
          </c:xVal>
          <c:yVal>
            <c:numRef>
              <c:f>Football!$F$9:$G$9</c:f>
              <c:numCache>
                <c:formatCode>General</c:formatCode>
                <c:ptCount val="2"/>
                <c:pt idx="0">
                  <c:v>5.0</c:v>
                </c:pt>
                <c:pt idx="1">
                  <c:v>5.0</c:v>
                </c:pt>
              </c:numCache>
            </c:numRef>
          </c:yVal>
        </c:ser>
        <c:ser>
          <c:idx val="5"/>
          <c:order val="5"/>
          <c:tx>
            <c:strRef>
              <c:f>Football!$B$10</c:f>
              <c:strCache>
                <c:ptCount val="1"/>
                <c:pt idx="0">
                  <c:v>EV/Sales (n=3)</c:v>
                </c:pt>
              </c:strCache>
            </c:strRef>
          </c:tx>
          <c:spPr>
            <a:ln w="114300">
              <a:solidFill>
                <a:srgbClr val="61A5C2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Football!$B$10</c:f>
                  <c:strCache>
                    <c:ptCount val="1"/>
                    <c:pt idx="0">
                      <c:v>EV/Sales (n=3)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strRef>
              <c:f>Football!$C$10:$D$10</c:f>
              <c:strCache>
                <c:ptCount val="2"/>
                <c:pt idx="0">
                  <c:v>N/M</c:v>
                </c:pt>
                <c:pt idx="1">
                  <c:v>N/M</c:v>
                </c:pt>
              </c:strCache>
            </c:strRef>
          </c:xVal>
          <c:yVal>
            <c:numRef>
              <c:f>Football!$F$10:$G$10</c:f>
              <c:numCache>
                <c:formatCode>General</c:formatCode>
                <c:ptCount val="2"/>
                <c:pt idx="0">
                  <c:v>4.0</c:v>
                </c:pt>
                <c:pt idx="1">
                  <c:v>4.0</c:v>
                </c:pt>
              </c:numCache>
            </c:numRef>
          </c:yVal>
        </c:ser>
        <c:ser>
          <c:idx val="6"/>
          <c:order val="6"/>
          <c:tx>
            <c:strRef>
              <c:f>Football!$B$11</c:f>
              <c:strCache>
                <c:ptCount val="1"/>
                <c:pt idx="0">
                  <c:v>PBR (n=6)</c:v>
                </c:pt>
              </c:strCache>
            </c:strRef>
          </c:tx>
          <c:spPr>
            <a:ln w="114300">
              <a:solidFill>
                <a:srgbClr val="61A5C2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Football!$B$11</c:f>
                  <c:strCache>
                    <c:ptCount val="1"/>
                    <c:pt idx="0">
                      <c:v>PBR (n=6)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Football!$C$11:$D$11</c:f>
              <c:numCache>
                <c:formatCode>General</c:formatCode>
                <c:ptCount val="2"/>
                <c:pt idx="0">
                  <c:v>2032.8215647410225</c:v>
                </c:pt>
                <c:pt idx="1">
                  <c:v>4204.203439328847</c:v>
                </c:pt>
              </c:numCache>
            </c:numRef>
          </c:xVal>
          <c:yVal>
            <c:numRef>
              <c:f>Football!$F$11:$G$11</c:f>
              <c:numCache>
                <c:formatCode>General</c:formatCode>
                <c:ptCount val="2"/>
                <c:pt idx="0">
                  <c:v>3.0</c:v>
                </c:pt>
                <c:pt idx="1">
                  <c:v>3.0</c:v>
                </c:pt>
              </c:numCache>
            </c:numRef>
          </c:yVal>
        </c:ser>
        <c:ser>
          <c:idx val="7"/>
          <c:order val="7"/>
          <c:tx>
            <c:strRef>
              <c:f>Football!$B$12</c:f>
              <c:strCache>
                <c:ptCount val="1"/>
                <c:pt idx="0">
                  <c:v>지배 블록 1주당</c:v>
                </c:pt>
              </c:strCache>
            </c:strRef>
          </c:tx>
          <c:spPr>
            <a:ln w="114300">
              <a:solidFill>
                <a:srgbClr val="E09F3E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Football!$B$12</c:f>
                  <c:strCache>
                    <c:ptCount val="1"/>
                    <c:pt idx="0">
                      <c:v>지배 블록 1주당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Football!$C$12:$D$12</c:f>
              <c:numCache>
                <c:formatCode>General</c:formatCode>
                <c:ptCount val="2"/>
                <c:pt idx="0">
                  <c:v>18206.613181500954</c:v>
                </c:pt>
                <c:pt idx="1">
                  <c:v>27034.98457945315</c:v>
                </c:pt>
              </c:numCache>
            </c:numRef>
          </c:xVal>
          <c:yVal>
            <c:numRef>
              <c:f>Football!$F$12:$G$12</c:f>
              <c:numCache>
                <c:formatCode>General</c:formatCode>
                <c:ptCount val="2"/>
                <c:pt idx="0">
                  <c:v>2.0</c:v>
                </c:pt>
                <c:pt idx="1">
                  <c:v>2.0</c:v>
                </c:pt>
              </c:numCache>
            </c:numRef>
          </c:yVal>
        </c:ser>
        <c:ser>
          <c:idx val="8"/>
          <c:order val="8"/>
          <c:tx>
            <c:strRef>
              <c:f>Football!$B$13</c:f>
              <c:strCache>
                <c:ptCount val="1"/>
                <c:pt idx="0">
                  <c:v>순자산가치(장부)</c:v>
                </c:pt>
              </c:strCache>
            </c:strRef>
          </c:tx>
          <c:spPr>
            <a:ln w="114300">
              <a:solidFill>
                <a:srgbClr val="9E9E9E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Football!$B$13</c:f>
                  <c:strCache>
                    <c:ptCount val="1"/>
                    <c:pt idx="0">
                      <c:v>순자산가치(장부)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Football!$C$13:$D$13</c:f>
              <c:numCache>
                <c:formatCode>General</c:formatCode>
                <c:ptCount val="2"/>
                <c:pt idx="0">
                  <c:v>4357.63547845778</c:v>
                </c:pt>
                <c:pt idx="1">
                  <c:v>4357.63547845778</c:v>
                </c:pt>
              </c:numCache>
            </c:numRef>
          </c:xVal>
          <c:yVal>
            <c:numRef>
              <c:f>Football!$F$13:$G$13</c:f>
              <c:numCache>
                <c:formatCode>General</c:formatCod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yVal>
        </c:ser>
        <c:ser>
          <c:idx val="9"/>
          <c:order val="9"/>
          <c:tx>
            <c:v>대표값</c:v>
          </c:tx>
          <c:spPr>
            <a:ln>
              <a:noFill/>
            </a:ln>
          </c:spPr>
          <c:marker>
            <c:symbol val="diamond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strRef>
              <c:f>Football!$E$5:$E$13</c:f>
              <c:strCache>
                <c:ptCount val="9"/>
                <c:pt idx="0">
                  <c:v>8702.440593663363</c:v>
                </c:pt>
                <c:pt idx="1">
                  <c:v>8733.86445114907</c:v>
                </c:pt>
                <c:pt idx="2">
                  <c:v>8767.506543663274</c:v>
                </c:pt>
                <c:pt idx="3">
                  <c:v>N/M</c:v>
                </c:pt>
                <c:pt idx="4">
                  <c:v>N/M</c:v>
                </c:pt>
                <c:pt idx="5">
                  <c:v>N/M</c:v>
                </c:pt>
                <c:pt idx="6">
                  <c:v>2566.1477972484117</c:v>
                </c:pt>
                <c:pt idx="7">
                  <c:v>21386.951142886155</c:v>
                </c:pt>
                <c:pt idx="8">
                  <c:v>4357.63547845778</c:v>
                </c:pt>
              </c:strCache>
            </c:strRef>
          </c:xVal>
          <c:yVal>
            <c:numRef>
              <c:f>Football!$F$5:$F$13</c:f>
              <c:numCache>
                <c:formatCode>General</c:formatCode>
                <c:ptCount val="9"/>
                <c:pt idx="0">
                  <c:v>9.0</c:v>
                </c:pt>
                <c:pt idx="1">
                  <c:v>8.0</c:v>
                </c:pt>
                <c:pt idx="2">
                  <c:v>7.0</c:v>
                </c:pt>
                <c:pt idx="3">
                  <c:v>6.0</c:v>
                </c:pt>
                <c:pt idx="4">
                  <c:v>5.0</c:v>
                </c:pt>
                <c:pt idx="5">
                  <c:v>4.0</c:v>
                </c:pt>
                <c:pt idx="6">
                  <c:v>3.0</c:v>
                </c:pt>
                <c:pt idx="7">
                  <c:v>2.0</c:v>
                </c:pt>
                <c:pt idx="8">
                  <c:v>1.0</c:v>
                </c:pt>
              </c:numCache>
            </c:numRef>
          </c:yVal>
        </c:ser>
        <c:ser>
          <c:idx val="10"/>
          <c:order val="10"/>
          <c:tx>
            <c:v>기준일 종가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layout/>
              <c:tx>
                <c:strRef>
                  <c:f>Football!$E$15</c:f>
                  <c:strCache>
                    <c:ptCount val="1"/>
                    <c:pt idx="0">
                      <c:v>기준일 종가 20,000원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800" baseline="0">
                    <a:solidFill>
                      <a:srgbClr val="C00000"/>
                    </a:solidFill>
                  </a:defRPr>
                </a:pPr>
                <a:endParaRPr lang="en-US"/>
              </a:p>
            </c:txPr>
          </c:dLbls>
          <c:xVal>
            <c:numRef>
              <c:f>Football!$C$15:$D$15</c:f>
              <c:numCache>
                <c:formatCode>General</c:formatCode>
                <c:ptCount val="2"/>
                <c:pt idx="0">
                  <c:v>20000.0</c:v>
                </c:pt>
                <c:pt idx="1">
                  <c:v>20000.0</c:v>
                </c:pt>
              </c:numCache>
            </c:numRef>
          </c:xVal>
          <c:yVal>
            <c:numRef>
              <c:f>Football!$F$15:$G$15</c:f>
              <c:numCache>
                <c:formatCode>General</c:formatCode>
                <c:ptCount val="2"/>
                <c:pt idx="0">
                  <c:v>0</c:v>
                </c:pt>
                <c:pt idx="1">
                  <c:v>10.0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주당 원 (가정 하 추정·참고 범위)</a:t>
                </a:r>
              </a:p>
            </c:rich>
          </c:tx>
          <c:layout/>
        </c:title>
        <c:numFmt formatCode="#,##0" sourceLinked="0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10"/>
          <c:min val="0"/>
        </c:scaling>
        <c:delete val="1"/>
        <c:axPos val="l"/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2971800</xdr:colOff>
      <xdr:row>39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B2:C24"/>
  <sheetViews>
    <sheetView showGridLines="0" tabSelected="1" workbookViewId="0"/>
  </sheetViews>
  <sheetFormatPr defaultRowHeight="15"/>
  <cols>
    <col min="1" max="1" width="3.7109375" customWidth="1"/>
    <col min="2" max="2" width="28.7109375" customWidth="1"/>
    <col min="3" max="3" width="70.7109375" customWidth="1"/>
  </cols>
  <sheetData>
    <row r="2" spans="2:3">
      <c r="B2" s="1" t="s">
        <v>1240</v>
      </c>
    </row>
    <row r="3" spans="2:3">
      <c r="B3" s="2" t="s">
        <v>1241</v>
      </c>
    </row>
    <row r="4" spans="2:3">
      <c r="B4" s="2" t="s">
        <v>1242</v>
      </c>
    </row>
    <row r="5" spans="2:3">
      <c r="B5" s="3" t="s">
        <v>1243</v>
      </c>
      <c r="C5" s="4" t="s">
        <v>1244</v>
      </c>
    </row>
    <row r="6" spans="2:3">
      <c r="B6" s="3" t="s">
        <v>29</v>
      </c>
      <c r="C6" s="4" t="s">
        <v>32</v>
      </c>
    </row>
    <row r="7" spans="2:3">
      <c r="B7" s="3" t="s">
        <v>1245</v>
      </c>
      <c r="C7" s="4" t="s">
        <v>1246</v>
      </c>
    </row>
    <row r="8" spans="2:3">
      <c r="B8" s="3" t="s">
        <v>1247</v>
      </c>
      <c r="C8" s="4" t="s">
        <v>1248</v>
      </c>
    </row>
    <row r="9" spans="2:3">
      <c r="B9" s="3" t="s">
        <v>1249</v>
      </c>
      <c r="C9" s="4" t="s">
        <v>1250</v>
      </c>
    </row>
    <row r="10" spans="2:3">
      <c r="B10" s="3" t="s">
        <v>1251</v>
      </c>
      <c r="C10" s="4" t="s">
        <v>1252</v>
      </c>
    </row>
    <row r="11" spans="2:3">
      <c r="B11" s="3" t="s">
        <v>1253</v>
      </c>
      <c r="C11" s="4" t="s">
        <v>1254</v>
      </c>
    </row>
    <row r="12" spans="2:3">
      <c r="B12" s="3" t="s">
        <v>4</v>
      </c>
      <c r="C12" s="4" t="s">
        <v>1255</v>
      </c>
    </row>
    <row r="13" spans="2:3">
      <c r="B13" s="3" t="s">
        <v>1256</v>
      </c>
      <c r="C13" s="4" t="s">
        <v>1257</v>
      </c>
    </row>
    <row r="14" spans="2:3">
      <c r="B14" s="3" t="s">
        <v>1258</v>
      </c>
      <c r="C14" s="4" t="s">
        <v>1259</v>
      </c>
    </row>
    <row r="17" spans="2:3">
      <c r="B17" s="3" t="s">
        <v>1260</v>
      </c>
      <c r="C17" s="5" t="str">
        <f>"시나리오: "&amp;ScenSel&amp;" / SRP: "&amp;TEXT(SRP_Sel,"0.0%")&amp;" / 주당 가치(Gordon): "&amp;TEXT(PerShare,"#,##0")&amp;"원"</f>
        <v>시나리오: 기본 / SRP: 0.0% / 주당 가치(Gordon): 8,734원</v>
      </c>
    </row>
    <row r="18" spans="2:3">
      <c r="B18" s="3" t="s">
        <v>1261</v>
      </c>
      <c r="C18" s="6" t="str">
        <f>MasterCheck</f>
        <v>OK</v>
      </c>
    </row>
    <row r="20" spans="2:3">
      <c r="B20" s="3" t="s">
        <v>1262</v>
      </c>
    </row>
    <row r="21" spans="2:3">
      <c r="B21" s="7" t="s">
        <v>1263</v>
      </c>
      <c r="C21" s="8"/>
    </row>
    <row r="22" spans="2:3">
      <c r="B22" s="7" t="s">
        <v>1130</v>
      </c>
      <c r="C22" s="8"/>
    </row>
    <row r="23" spans="2:3">
      <c r="B23" s="7" t="s">
        <v>1264</v>
      </c>
      <c r="C23" s="8"/>
    </row>
    <row r="24" spans="2:3">
      <c r="B24" s="7" t="s">
        <v>1265</v>
      </c>
      <c r="C2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</sheetPr>
  <dimension ref="B2:C28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95.7109375" customWidth="1"/>
  </cols>
  <sheetData>
    <row r="2" spans="2:3">
      <c r="B2" s="1" t="s">
        <v>1195</v>
      </c>
    </row>
    <row r="4" spans="2:3">
      <c r="B4" s="3" t="s">
        <v>1196</v>
      </c>
      <c r="C4" s="4" t="s">
        <v>235</v>
      </c>
    </row>
    <row r="5" spans="2:3">
      <c r="B5" s="3" t="s">
        <v>1197</v>
      </c>
      <c r="C5" s="4" t="s">
        <v>1198</v>
      </c>
    </row>
    <row r="6" spans="2:3">
      <c r="B6" s="3" t="s">
        <v>1199</v>
      </c>
      <c r="C6" s="4" t="s">
        <v>1200</v>
      </c>
    </row>
    <row r="7" spans="2:3">
      <c r="B7" s="3" t="s">
        <v>1201</v>
      </c>
      <c r="C7" s="4" t="s">
        <v>1202</v>
      </c>
    </row>
    <row r="8" spans="2:3">
      <c r="B8" s="3" t="s">
        <v>668</v>
      </c>
      <c r="C8" s="4" t="s">
        <v>1203</v>
      </c>
    </row>
    <row r="9" spans="2:3">
      <c r="B9" s="3" t="s">
        <v>1204</v>
      </c>
      <c r="C9" s="4" t="s">
        <v>1205</v>
      </c>
    </row>
    <row r="10" spans="2:3">
      <c r="B10" s="3" t="s">
        <v>1206</v>
      </c>
      <c r="C10" s="4" t="s">
        <v>1207</v>
      </c>
    </row>
    <row r="11" spans="2:3">
      <c r="B11" s="3" t="s">
        <v>1208</v>
      </c>
      <c r="C11" s="4" t="s">
        <v>1209</v>
      </c>
    </row>
    <row r="12" spans="2:3">
      <c r="B12" s="3" t="s">
        <v>1210</v>
      </c>
      <c r="C12" s="4" t="s">
        <v>1211</v>
      </c>
    </row>
    <row r="13" spans="2:3">
      <c r="B13" s="3" t="s">
        <v>1212</v>
      </c>
      <c r="C13" s="4" t="s">
        <v>1213</v>
      </c>
    </row>
    <row r="14" spans="2:3">
      <c r="B14" s="3" t="s">
        <v>1214</v>
      </c>
      <c r="C14" s="4" t="s">
        <v>1215</v>
      </c>
    </row>
    <row r="15" spans="2:3">
      <c r="B15" s="3" t="s">
        <v>1216</v>
      </c>
      <c r="C15" s="4" t="s">
        <v>1217</v>
      </c>
    </row>
    <row r="16" spans="2:3">
      <c r="B16" s="3" t="s">
        <v>1218</v>
      </c>
      <c r="C16" s="4" t="s">
        <v>1219</v>
      </c>
    </row>
    <row r="17" spans="2:3">
      <c r="B17" s="3" t="s">
        <v>1220</v>
      </c>
      <c r="C17" s="4" t="s">
        <v>1221</v>
      </c>
    </row>
    <row r="18" spans="2:3">
      <c r="B18" s="3" t="s">
        <v>235</v>
      </c>
      <c r="C18" s="4" t="s">
        <v>235</v>
      </c>
    </row>
    <row r="19" spans="2:3">
      <c r="B19" s="3" t="s">
        <v>1222</v>
      </c>
      <c r="C19" s="4" t="s">
        <v>1223</v>
      </c>
    </row>
    <row r="20" spans="2:3">
      <c r="B20" s="3" t="s">
        <v>4</v>
      </c>
      <c r="C20" s="4" t="s">
        <v>1224</v>
      </c>
    </row>
    <row r="21" spans="2:3">
      <c r="B21" s="3" t="s">
        <v>10</v>
      </c>
      <c r="C21" s="4" t="s">
        <v>1225</v>
      </c>
    </row>
    <row r="22" spans="2:3">
      <c r="B22" s="3" t="s">
        <v>1226</v>
      </c>
      <c r="C22" s="4" t="s">
        <v>1227</v>
      </c>
    </row>
    <row r="23" spans="2:3">
      <c r="B23" s="3" t="s">
        <v>1228</v>
      </c>
      <c r="C23" s="4" t="s">
        <v>1229</v>
      </c>
    </row>
    <row r="24" spans="2:3">
      <c r="B24" s="3" t="s">
        <v>1230</v>
      </c>
      <c r="C24" s="4" t="s">
        <v>1231</v>
      </c>
    </row>
    <row r="25" spans="2:3">
      <c r="B25" s="3" t="s">
        <v>1232</v>
      </c>
      <c r="C25" s="4" t="s">
        <v>1233</v>
      </c>
    </row>
    <row r="26" spans="2:3">
      <c r="B26" s="3" t="s">
        <v>1234</v>
      </c>
      <c r="C26" s="4" t="s">
        <v>1235</v>
      </c>
    </row>
    <row r="27" spans="2:3">
      <c r="B27" s="3" t="s">
        <v>1236</v>
      </c>
      <c r="C27" s="4" t="s">
        <v>1237</v>
      </c>
    </row>
    <row r="28" spans="2:3">
      <c r="B28" s="3" t="s">
        <v>1238</v>
      </c>
      <c r="C28" s="4" t="s">
        <v>1239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M16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6.7109375" customWidth="1"/>
    <col min="2" max="2" width="15.7109375" customWidth="1"/>
    <col min="3" max="3" width="13.7109375" customWidth="1"/>
    <col min="4" max="4" width="48.7109375" customWidth="1"/>
    <col min="5" max="5" width="11.7109375" customWidth="1"/>
    <col min="6" max="6" width="6.7109375" customWidth="1"/>
    <col min="7" max="7" width="56.7109375" customWidth="1"/>
    <col min="8" max="14" width="13.7109375" customWidth="1"/>
    <col min="15" max="15" width="30.7109375" customWidth="1"/>
  </cols>
  <sheetData>
    <row r="1" spans="1:7">
      <c r="A1" s="1" t="s">
        <v>0</v>
      </c>
    </row>
    <row r="2" spans="1:7">
      <c r="A2" s="9" t="s">
        <v>1</v>
      </c>
    </row>
    <row r="4" spans="1:7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</row>
    <row r="5" spans="1:7">
      <c r="A5" s="11" t="s">
        <v>9</v>
      </c>
    </row>
    <row r="6" spans="1:7">
      <c r="A6" s="7" t="s">
        <v>10</v>
      </c>
      <c r="B6" s="8" t="s">
        <v>11</v>
      </c>
      <c r="D6" s="4" t="s">
        <v>12</v>
      </c>
      <c r="F6" s="7" t="s">
        <v>13</v>
      </c>
      <c r="G6" s="4" t="s">
        <v>14</v>
      </c>
    </row>
    <row r="7" spans="1:7">
      <c r="A7" s="7" t="s">
        <v>15</v>
      </c>
      <c r="B7" s="12">
        <v>0</v>
      </c>
      <c r="C7" s="7" t="s">
        <v>16</v>
      </c>
      <c r="D7" s="4" t="s">
        <v>17</v>
      </c>
      <c r="F7" s="7" t="s">
        <v>18</v>
      </c>
      <c r="G7" s="4" t="s">
        <v>19</v>
      </c>
    </row>
    <row r="8" spans="1:7">
      <c r="A8" s="7" t="s">
        <v>20</v>
      </c>
      <c r="B8" s="13">
        <v>5</v>
      </c>
      <c r="C8" s="7" t="s">
        <v>21</v>
      </c>
      <c r="D8" s="4" t="s">
        <v>22</v>
      </c>
      <c r="F8" s="7" t="s">
        <v>13</v>
      </c>
      <c r="G8" s="4" t="s">
        <v>23</v>
      </c>
    </row>
    <row r="9" spans="1:7">
      <c r="A9" s="7" t="s">
        <v>24</v>
      </c>
      <c r="B9" s="8" t="s">
        <v>25</v>
      </c>
      <c r="D9" s="4" t="s">
        <v>26</v>
      </c>
      <c r="F9" s="7" t="s">
        <v>13</v>
      </c>
      <c r="G9" s="4" t="s">
        <v>27</v>
      </c>
    </row>
    <row r="11" spans="1:7">
      <c r="A11" s="11" t="s">
        <v>28</v>
      </c>
    </row>
    <row r="12" spans="1:7">
      <c r="A12" s="7" t="s">
        <v>29</v>
      </c>
      <c r="B12" s="14">
        <v>46295</v>
      </c>
      <c r="C12" s="7" t="s">
        <v>30</v>
      </c>
      <c r="D12" s="4" t="s">
        <v>31</v>
      </c>
      <c r="E12" s="7" t="s">
        <v>32</v>
      </c>
      <c r="F12" s="7" t="s">
        <v>13</v>
      </c>
      <c r="G12" s="4" t="s">
        <v>33</v>
      </c>
    </row>
    <row r="13" spans="1:7">
      <c r="A13" s="7" t="s">
        <v>34</v>
      </c>
      <c r="B13" s="14">
        <v>46203</v>
      </c>
      <c r="C13" s="7" t="s">
        <v>30</v>
      </c>
      <c r="D13" s="4" t="s">
        <v>35</v>
      </c>
      <c r="F13" s="7" t="s">
        <v>13</v>
      </c>
      <c r="G13" s="4" t="s">
        <v>36</v>
      </c>
    </row>
    <row r="14" spans="1:7">
      <c r="A14" s="7" t="s">
        <v>37</v>
      </c>
      <c r="B14" s="14">
        <v>46204</v>
      </c>
      <c r="C14" s="7" t="s">
        <v>30</v>
      </c>
      <c r="D14" s="4" t="s">
        <v>38</v>
      </c>
      <c r="F14" s="7" t="s">
        <v>13</v>
      </c>
    </row>
    <row r="15" spans="1:7">
      <c r="A15" s="7" t="s">
        <v>39</v>
      </c>
      <c r="B15" s="13">
        <v>365</v>
      </c>
      <c r="C15" s="7" t="s">
        <v>40</v>
      </c>
      <c r="D15" s="4" t="s">
        <v>41</v>
      </c>
      <c r="F15" s="7" t="s">
        <v>13</v>
      </c>
      <c r="G15" s="4" t="s">
        <v>42</v>
      </c>
    </row>
    <row r="16" spans="1:7">
      <c r="A16" s="7" t="s">
        <v>43</v>
      </c>
      <c r="B16" s="13">
        <v>1000000</v>
      </c>
      <c r="C16" s="7" t="s">
        <v>44</v>
      </c>
      <c r="D16" s="4" t="s">
        <v>4</v>
      </c>
      <c r="F16" s="7" t="s">
        <v>13</v>
      </c>
      <c r="G16" s="4" t="s">
        <v>45</v>
      </c>
    </row>
    <row r="17" spans="1:13">
      <c r="A17" s="7" t="s">
        <v>46</v>
      </c>
      <c r="B17" s="13">
        <v>1</v>
      </c>
      <c r="D17" s="4" t="s">
        <v>47</v>
      </c>
      <c r="F17" s="7" t="s">
        <v>13</v>
      </c>
    </row>
    <row r="18" spans="1:13">
      <c r="A18" s="7" t="s">
        <v>48</v>
      </c>
      <c r="B18" s="15">
        <v>2032</v>
      </c>
      <c r="C18" s="7" t="s">
        <v>49</v>
      </c>
      <c r="D18" s="4" t="s">
        <v>50</v>
      </c>
      <c r="F18" s="7" t="s">
        <v>13</v>
      </c>
      <c r="G18" s="4" t="s">
        <v>51</v>
      </c>
    </row>
    <row r="19" spans="1:13">
      <c r="A19" s="7" t="s">
        <v>52</v>
      </c>
      <c r="B19" s="13">
        <v>8</v>
      </c>
      <c r="C19" s="7" t="s">
        <v>21</v>
      </c>
      <c r="D19" s="4" t="s">
        <v>53</v>
      </c>
      <c r="F19" s="7" t="s">
        <v>18</v>
      </c>
      <c r="G19" s="4" t="s">
        <v>54</v>
      </c>
    </row>
    <row r="20" spans="1:13">
      <c r="A20" s="7" t="s">
        <v>55</v>
      </c>
      <c r="B20" s="8" t="s">
        <v>56</v>
      </c>
      <c r="D20" s="4" t="s">
        <v>57</v>
      </c>
      <c r="F20" s="7" t="s">
        <v>13</v>
      </c>
      <c r="G20" s="4" t="s">
        <v>58</v>
      </c>
    </row>
    <row r="22" spans="1:13">
      <c r="A22" s="11" t="s">
        <v>59</v>
      </c>
    </row>
    <row r="23" spans="1:13">
      <c r="A23" s="7" t="s">
        <v>60</v>
      </c>
      <c r="B23" s="16">
        <v>0.04203</v>
      </c>
      <c r="C23" s="7" t="s">
        <v>16</v>
      </c>
      <c r="D23" s="4" t="s">
        <v>61</v>
      </c>
      <c r="E23" s="7" t="s">
        <v>32</v>
      </c>
      <c r="F23" s="7" t="s">
        <v>62</v>
      </c>
      <c r="G23" s="4" t="s">
        <v>63</v>
      </c>
    </row>
    <row r="24" spans="1:13">
      <c r="A24" s="7" t="s">
        <v>64</v>
      </c>
      <c r="B24" s="16">
        <v>0.04407</v>
      </c>
      <c r="C24" s="7" t="s">
        <v>16</v>
      </c>
      <c r="D24" s="4" t="s">
        <v>65</v>
      </c>
      <c r="E24" s="7" t="s">
        <v>32</v>
      </c>
      <c r="F24" s="7" t="s">
        <v>62</v>
      </c>
      <c r="G24" s="4" t="s">
        <v>66</v>
      </c>
      <c r="I24" s="11" t="s">
        <v>80</v>
      </c>
    </row>
    <row r="25" spans="1:13">
      <c r="A25" s="7" t="s">
        <v>67</v>
      </c>
      <c r="B25" s="12">
        <v>0.08</v>
      </c>
      <c r="C25" s="7" t="s">
        <v>16</v>
      </c>
      <c r="D25" s="4" t="s">
        <v>68</v>
      </c>
      <c r="E25" s="7" t="s">
        <v>69</v>
      </c>
      <c r="F25" s="7" t="s">
        <v>62</v>
      </c>
      <c r="G25" s="4" t="s">
        <v>70</v>
      </c>
      <c r="I25" s="10" t="s">
        <v>81</v>
      </c>
      <c r="J25" s="10" t="s">
        <v>82</v>
      </c>
      <c r="K25" s="10" t="s">
        <v>3</v>
      </c>
      <c r="L25" s="10" t="s">
        <v>83</v>
      </c>
      <c r="M25" s="10" t="s">
        <v>84</v>
      </c>
    </row>
    <row r="26" spans="1:13">
      <c r="A26" s="7" t="s">
        <v>71</v>
      </c>
      <c r="B26" s="12">
        <v>0</v>
      </c>
      <c r="C26" s="7" t="s">
        <v>16</v>
      </c>
      <c r="D26" s="4" t="s">
        <v>72</v>
      </c>
      <c r="F26" s="7" t="s">
        <v>18</v>
      </c>
      <c r="G26" s="4" t="s">
        <v>73</v>
      </c>
      <c r="I26" s="17" t="s">
        <v>85</v>
      </c>
      <c r="J26" s="17" t="s">
        <v>86</v>
      </c>
      <c r="K26" s="18">
        <v>0.0335</v>
      </c>
      <c r="L26" s="19">
        <v>1</v>
      </c>
      <c r="M26" s="17" t="s">
        <v>87</v>
      </c>
    </row>
    <row r="27" spans="1:13">
      <c r="A27" s="7" t="s">
        <v>74</v>
      </c>
      <c r="B27" s="12">
        <v>0.01</v>
      </c>
      <c r="C27" s="7" t="s">
        <v>16</v>
      </c>
      <c r="D27" s="4" t="s">
        <v>72</v>
      </c>
      <c r="F27" s="7" t="s">
        <v>18</v>
      </c>
      <c r="I27" s="17" t="s">
        <v>85</v>
      </c>
      <c r="J27" s="17" t="s">
        <v>88</v>
      </c>
      <c r="K27" s="18">
        <v>0.0416</v>
      </c>
      <c r="L27" s="19">
        <v>1</v>
      </c>
      <c r="M27" s="17" t="s">
        <v>87</v>
      </c>
    </row>
    <row r="28" spans="1:13">
      <c r="A28" s="7" t="s">
        <v>75</v>
      </c>
      <c r="B28" s="12">
        <v>0.02</v>
      </c>
      <c r="C28" s="7" t="s">
        <v>16</v>
      </c>
      <c r="D28" s="4" t="s">
        <v>72</v>
      </c>
      <c r="F28" s="7" t="s">
        <v>18</v>
      </c>
      <c r="I28" s="17" t="s">
        <v>85</v>
      </c>
      <c r="J28" s="17" t="s">
        <v>89</v>
      </c>
      <c r="K28" s="18">
        <v>0.0335</v>
      </c>
      <c r="L28" s="19">
        <v>4</v>
      </c>
      <c r="M28" s="17" t="s">
        <v>90</v>
      </c>
    </row>
    <row r="29" spans="1:13">
      <c r="A29" s="7" t="s">
        <v>76</v>
      </c>
      <c r="B29" s="12">
        <v>0.0402</v>
      </c>
      <c r="C29" s="7" t="s">
        <v>16</v>
      </c>
      <c r="D29" s="4" t="s">
        <v>77</v>
      </c>
      <c r="E29" s="7" t="s">
        <v>78</v>
      </c>
      <c r="F29" s="7" t="s">
        <v>13</v>
      </c>
      <c r="G29" s="4" t="s">
        <v>79</v>
      </c>
      <c r="I29" s="17" t="s">
        <v>91</v>
      </c>
      <c r="J29" s="17" t="s">
        <v>88</v>
      </c>
      <c r="K29" s="18">
        <v>0.0473</v>
      </c>
      <c r="L29" s="19">
        <v>1</v>
      </c>
      <c r="M29" s="17" t="s">
        <v>87</v>
      </c>
    </row>
    <row r="30" spans="1:13">
      <c r="A30" s="7" t="s">
        <v>98</v>
      </c>
      <c r="B30" s="12">
        <v>0.22</v>
      </c>
      <c r="C30" s="7" t="s">
        <v>16</v>
      </c>
      <c r="D30" s="4" t="s">
        <v>99</v>
      </c>
      <c r="F30" s="7" t="s">
        <v>13</v>
      </c>
      <c r="G30" s="4" t="s">
        <v>100</v>
      </c>
      <c r="I30" s="17" t="s">
        <v>91</v>
      </c>
      <c r="J30" s="17" t="s">
        <v>89</v>
      </c>
      <c r="K30" s="18">
        <v>0.0335</v>
      </c>
      <c r="L30" s="19">
        <v>1</v>
      </c>
      <c r="M30" s="17" t="s">
        <v>87</v>
      </c>
    </row>
    <row r="31" spans="1:13">
      <c r="A31" s="7" t="s">
        <v>101</v>
      </c>
      <c r="B31" s="20">
        <v>0.67</v>
      </c>
      <c r="D31" s="4" t="s">
        <v>102</v>
      </c>
      <c r="F31" s="7" t="s">
        <v>13</v>
      </c>
      <c r="G31" s="4" t="s">
        <v>103</v>
      </c>
      <c r="I31" s="17" t="s">
        <v>87</v>
      </c>
      <c r="J31" s="17" t="s">
        <v>92</v>
      </c>
      <c r="K31" s="18">
        <v>0.0375</v>
      </c>
      <c r="L31" s="19">
        <v>1</v>
      </c>
      <c r="M31" s="17" t="s">
        <v>93</v>
      </c>
    </row>
    <row r="32" spans="1:13">
      <c r="A32" s="7" t="s">
        <v>104</v>
      </c>
      <c r="B32" s="20">
        <v>0.33</v>
      </c>
      <c r="D32" s="4" t="s">
        <v>102</v>
      </c>
      <c r="F32" s="7" t="s">
        <v>13</v>
      </c>
      <c r="I32" s="17" t="s">
        <v>87</v>
      </c>
      <c r="J32" s="17" t="s">
        <v>86</v>
      </c>
      <c r="K32" s="18">
        <v>0.0375</v>
      </c>
      <c r="L32" s="19">
        <v>1</v>
      </c>
      <c r="M32" s="17" t="s">
        <v>93</v>
      </c>
    </row>
    <row r="33" spans="1:13">
      <c r="A33" s="7" t="s">
        <v>105</v>
      </c>
      <c r="B33" s="20">
        <v>0.004259655528318662</v>
      </c>
      <c r="C33" s="7" t="s">
        <v>106</v>
      </c>
      <c r="D33" s="4" t="s">
        <v>107</v>
      </c>
      <c r="F33" s="7" t="s">
        <v>13</v>
      </c>
      <c r="G33" s="4" t="s">
        <v>108</v>
      </c>
      <c r="I33" s="17" t="s">
        <v>87</v>
      </c>
      <c r="J33" s="17" t="s">
        <v>88</v>
      </c>
      <c r="K33" s="18">
        <v>0.0473</v>
      </c>
      <c r="L33" s="19">
        <v>1</v>
      </c>
      <c r="M33" s="17" t="s">
        <v>87</v>
      </c>
    </row>
    <row r="34" spans="1:13">
      <c r="A34" s="7" t="s">
        <v>109</v>
      </c>
      <c r="B34" s="8"/>
      <c r="D34" s="4" t="s">
        <v>110</v>
      </c>
      <c r="F34" s="7" t="s">
        <v>13</v>
      </c>
      <c r="G34" s="4" t="s">
        <v>111</v>
      </c>
      <c r="I34" s="17" t="s">
        <v>94</v>
      </c>
      <c r="J34" s="17" t="s">
        <v>92</v>
      </c>
      <c r="K34" s="18">
        <v>0.0335</v>
      </c>
      <c r="L34" s="19">
        <v>1</v>
      </c>
      <c r="M34" s="17" t="s">
        <v>93</v>
      </c>
    </row>
    <row r="35" spans="1:13">
      <c r="A35" s="7" t="s">
        <v>112</v>
      </c>
      <c r="B35" s="16">
        <v>0.10506</v>
      </c>
      <c r="C35" s="7" t="s">
        <v>16</v>
      </c>
      <c r="D35" s="4" t="s">
        <v>113</v>
      </c>
      <c r="E35" s="7" t="s">
        <v>32</v>
      </c>
      <c r="F35" s="7" t="s">
        <v>62</v>
      </c>
      <c r="I35" s="17" t="s">
        <v>94</v>
      </c>
      <c r="J35" s="17" t="s">
        <v>86</v>
      </c>
      <c r="K35" s="18">
        <v>0.0375</v>
      </c>
      <c r="L35" s="19">
        <v>1</v>
      </c>
      <c r="M35" s="17" t="s">
        <v>93</v>
      </c>
    </row>
    <row r="36" spans="1:13">
      <c r="A36" s="7" t="s">
        <v>114</v>
      </c>
      <c r="B36" s="16">
        <v>0.04703</v>
      </c>
      <c r="C36" s="7" t="s">
        <v>16</v>
      </c>
      <c r="D36" s="4" t="s">
        <v>115</v>
      </c>
      <c r="E36" s="7" t="s">
        <v>32</v>
      </c>
      <c r="F36" s="7" t="s">
        <v>62</v>
      </c>
      <c r="I36" s="17" t="s">
        <v>94</v>
      </c>
      <c r="J36" s="17" t="s">
        <v>86</v>
      </c>
      <c r="K36" s="18">
        <v>0.0402</v>
      </c>
      <c r="L36" s="19">
        <v>1</v>
      </c>
      <c r="M36" s="17" t="s">
        <v>95</v>
      </c>
    </row>
    <row r="37" spans="1:13">
      <c r="A37" s="7" t="s">
        <v>116</v>
      </c>
      <c r="B37" s="20">
        <v>0.1</v>
      </c>
      <c r="D37" s="4" t="s">
        <v>117</v>
      </c>
      <c r="F37" s="7" t="s">
        <v>13</v>
      </c>
      <c r="G37" s="4" t="s">
        <v>118</v>
      </c>
      <c r="I37" s="17" t="s">
        <v>94</v>
      </c>
      <c r="J37" s="17" t="s">
        <v>88</v>
      </c>
      <c r="K37" s="18">
        <v>0.0416</v>
      </c>
      <c r="L37" s="19">
        <v>1</v>
      </c>
      <c r="M37" s="17" t="s">
        <v>91</v>
      </c>
    </row>
    <row r="38" spans="1:13">
      <c r="I38" s="17" t="s">
        <v>94</v>
      </c>
      <c r="J38" s="17" t="s">
        <v>88</v>
      </c>
      <c r="K38" s="18">
        <v>0.0466</v>
      </c>
      <c r="L38" s="19">
        <v>1</v>
      </c>
      <c r="M38" s="17" t="s">
        <v>95</v>
      </c>
    </row>
    <row r="39" spans="1:13">
      <c r="A39" s="11" t="s">
        <v>119</v>
      </c>
      <c r="I39" s="17" t="s">
        <v>94</v>
      </c>
      <c r="J39" s="17" t="s">
        <v>89</v>
      </c>
      <c r="K39" s="18">
        <v>0.0402</v>
      </c>
      <c r="L39" s="19">
        <v>3</v>
      </c>
      <c r="M39" s="17" t="s">
        <v>96</v>
      </c>
    </row>
    <row r="40" spans="1:13">
      <c r="A40" s="7" t="s">
        <v>120</v>
      </c>
      <c r="B40" s="13">
        <v>27345997</v>
      </c>
      <c r="C40" s="7" t="s">
        <v>121</v>
      </c>
      <c r="D40" s="4" t="s">
        <v>122</v>
      </c>
      <c r="E40" s="7" t="s">
        <v>32</v>
      </c>
      <c r="F40" s="7" t="s">
        <v>62</v>
      </c>
      <c r="G40" s="4" t="s">
        <v>123</v>
      </c>
      <c r="I40" s="9" t="s">
        <v>97</v>
      </c>
    </row>
    <row r="41" spans="1:13">
      <c r="A41" s="7" t="s">
        <v>124</v>
      </c>
      <c r="B41" s="13">
        <v>0</v>
      </c>
      <c r="C41" s="7" t="s">
        <v>121</v>
      </c>
      <c r="D41" s="4" t="s">
        <v>122</v>
      </c>
      <c r="E41" s="7" t="s">
        <v>32</v>
      </c>
      <c r="F41" s="7" t="s">
        <v>62</v>
      </c>
    </row>
    <row r="42" spans="1:13">
      <c r="A42" s="7" t="s">
        <v>125</v>
      </c>
      <c r="B42" s="13">
        <v>0</v>
      </c>
      <c r="C42" s="7" t="s">
        <v>121</v>
      </c>
      <c r="D42" s="4" t="s">
        <v>122</v>
      </c>
      <c r="E42" s="7" t="s">
        <v>32</v>
      </c>
      <c r="F42" s="7" t="s">
        <v>62</v>
      </c>
      <c r="G42" s="4" t="s">
        <v>126</v>
      </c>
    </row>
    <row r="43" spans="1:13">
      <c r="A43" s="7" t="s">
        <v>127</v>
      </c>
      <c r="B43" s="13">
        <v>0</v>
      </c>
      <c r="C43" s="7" t="s">
        <v>121</v>
      </c>
      <c r="D43" s="4" t="s">
        <v>122</v>
      </c>
      <c r="E43" s="7" t="s">
        <v>32</v>
      </c>
      <c r="F43" s="7" t="s">
        <v>62</v>
      </c>
    </row>
    <row r="44" spans="1:13">
      <c r="A44" s="7" t="s">
        <v>128</v>
      </c>
      <c r="B44" s="21">
        <v>20000</v>
      </c>
      <c r="C44" s="7" t="s">
        <v>129</v>
      </c>
      <c r="D44" s="4" t="s">
        <v>130</v>
      </c>
      <c r="E44" s="7" t="s">
        <v>32</v>
      </c>
      <c r="F44" s="7" t="s">
        <v>62</v>
      </c>
    </row>
    <row r="45" spans="1:13">
      <c r="A45" s="7" t="s">
        <v>131</v>
      </c>
      <c r="B45" s="22">
        <v>546919.9400000001</v>
      </c>
      <c r="C45" s="7" t="s">
        <v>132</v>
      </c>
      <c r="D45" s="4" t="s">
        <v>133</v>
      </c>
      <c r="E45" s="7" t="s">
        <v>32</v>
      </c>
      <c r="F45" s="7" t="s">
        <v>62</v>
      </c>
      <c r="G45" s="4" t="s">
        <v>134</v>
      </c>
    </row>
    <row r="46" spans="1:13">
      <c r="A46" s="7" t="s">
        <v>135</v>
      </c>
      <c r="B46" s="22">
        <v>0</v>
      </c>
      <c r="C46" s="7" t="s">
        <v>132</v>
      </c>
      <c r="D46" s="4" t="s">
        <v>136</v>
      </c>
      <c r="E46" s="7" t="s">
        <v>32</v>
      </c>
      <c r="F46" s="7" t="s">
        <v>62</v>
      </c>
      <c r="G46" s="4" t="s">
        <v>137</v>
      </c>
    </row>
    <row r="47" spans="1:13">
      <c r="A47" s="7" t="s">
        <v>138</v>
      </c>
      <c r="B47" s="12">
        <v>0</v>
      </c>
      <c r="C47" s="7" t="s">
        <v>16</v>
      </c>
      <c r="D47" s="4" t="s">
        <v>136</v>
      </c>
      <c r="F47" s="7" t="s">
        <v>62</v>
      </c>
    </row>
    <row r="48" spans="1:13">
      <c r="A48" s="7" t="s">
        <v>139</v>
      </c>
      <c r="B48" s="13">
        <v>0</v>
      </c>
      <c r="D48" s="4" t="s">
        <v>140</v>
      </c>
      <c r="F48" s="7" t="s">
        <v>62</v>
      </c>
    </row>
    <row r="50" spans="1:7">
      <c r="A50" s="11" t="s">
        <v>141</v>
      </c>
    </row>
    <row r="51" spans="1:7">
      <c r="A51" s="7" t="s">
        <v>142</v>
      </c>
      <c r="B51" s="12">
        <v>0.02</v>
      </c>
      <c r="C51" s="7" t="s">
        <v>16</v>
      </c>
      <c r="D51" s="4" t="s">
        <v>143</v>
      </c>
      <c r="F51" s="7" t="s">
        <v>18</v>
      </c>
      <c r="G51" s="4" t="s">
        <v>144</v>
      </c>
    </row>
    <row r="52" spans="1:7">
      <c r="A52" s="7" t="s">
        <v>145</v>
      </c>
      <c r="B52" s="15">
        <v>2030</v>
      </c>
      <c r="C52" s="7" t="s">
        <v>49</v>
      </c>
      <c r="D52" s="4" t="s">
        <v>146</v>
      </c>
      <c r="F52" s="7" t="s">
        <v>13</v>
      </c>
      <c r="G52" s="4" t="s">
        <v>147</v>
      </c>
    </row>
    <row r="53" spans="1:7">
      <c r="A53" s="7" t="s">
        <v>148</v>
      </c>
      <c r="B53" s="12">
        <v>0.35</v>
      </c>
      <c r="D53" s="4" t="s">
        <v>149</v>
      </c>
      <c r="F53" s="7" t="s">
        <v>13</v>
      </c>
      <c r="G53" s="4" t="s">
        <v>150</v>
      </c>
    </row>
    <row r="54" spans="1:7">
      <c r="A54" s="7" t="s">
        <v>151</v>
      </c>
      <c r="B54" s="12">
        <v>0.75</v>
      </c>
      <c r="D54" s="4" t="s">
        <v>149</v>
      </c>
      <c r="F54" s="7" t="s">
        <v>13</v>
      </c>
    </row>
    <row r="55" spans="1:7">
      <c r="A55" s="7" t="s">
        <v>152</v>
      </c>
      <c r="B55" s="12">
        <v>0.001</v>
      </c>
      <c r="D55" s="4" t="s">
        <v>149</v>
      </c>
      <c r="F55" s="7" t="s">
        <v>13</v>
      </c>
    </row>
    <row r="56" spans="1:7">
      <c r="A56" s="7" t="s">
        <v>153</v>
      </c>
      <c r="B56" s="12">
        <v>0.2</v>
      </c>
      <c r="D56" s="4" t="s">
        <v>149</v>
      </c>
      <c r="F56" s="7" t="s">
        <v>13</v>
      </c>
    </row>
    <row r="57" spans="1:7">
      <c r="A57" s="7" t="s">
        <v>154</v>
      </c>
      <c r="B57" s="12">
        <v>0</v>
      </c>
      <c r="C57" s="7" t="s">
        <v>155</v>
      </c>
      <c r="D57" s="4" t="s">
        <v>156</v>
      </c>
      <c r="F57" s="7" t="s">
        <v>62</v>
      </c>
      <c r="G57" s="4" t="s">
        <v>157</v>
      </c>
    </row>
    <row r="58" spans="1:7">
      <c r="A58" s="7" t="s">
        <v>158</v>
      </c>
      <c r="B58" s="12">
        <v>0</v>
      </c>
      <c r="C58" s="7" t="s">
        <v>155</v>
      </c>
      <c r="D58" s="4" t="s">
        <v>156</v>
      </c>
      <c r="F58" s="7" t="s">
        <v>62</v>
      </c>
    </row>
    <row r="59" spans="1:7">
      <c r="A59" s="7" t="s">
        <v>159</v>
      </c>
      <c r="B59" s="12">
        <v>0.1235513416638282</v>
      </c>
      <c r="C59" s="7" t="s">
        <v>16</v>
      </c>
      <c r="D59" s="4" t="s">
        <v>160</v>
      </c>
      <c r="F59" s="7" t="s">
        <v>13</v>
      </c>
      <c r="G59" s="4" t="s">
        <v>161</v>
      </c>
    </row>
    <row r="60" spans="1:7">
      <c r="A60" s="7" t="s">
        <v>162</v>
      </c>
      <c r="B60" s="12">
        <v>0.02072089903749919</v>
      </c>
      <c r="C60" s="7" t="s">
        <v>16</v>
      </c>
      <c r="D60" s="4" t="s">
        <v>163</v>
      </c>
      <c r="F60" s="7" t="s">
        <v>13</v>
      </c>
      <c r="G60" s="4" t="s">
        <v>164</v>
      </c>
    </row>
    <row r="61" spans="1:7">
      <c r="A61" s="7" t="s">
        <v>165</v>
      </c>
      <c r="B61" s="12">
        <v>0.5</v>
      </c>
      <c r="D61" s="4" t="s">
        <v>166</v>
      </c>
      <c r="F61" s="7" t="s">
        <v>18</v>
      </c>
      <c r="G61" s="4" t="s">
        <v>167</v>
      </c>
    </row>
    <row r="62" spans="1:7">
      <c r="A62" s="7" t="s">
        <v>168</v>
      </c>
      <c r="B62" s="12">
        <v>0.5</v>
      </c>
      <c r="D62" s="4" t="s">
        <v>166</v>
      </c>
      <c r="F62" s="7" t="s">
        <v>18</v>
      </c>
      <c r="G62" s="4" t="s">
        <v>169</v>
      </c>
    </row>
    <row r="63" spans="1:7">
      <c r="A63" s="7" t="s">
        <v>170</v>
      </c>
      <c r="B63" s="12">
        <v>-0.1</v>
      </c>
      <c r="D63" s="4" t="s">
        <v>166</v>
      </c>
      <c r="F63" s="7" t="s">
        <v>18</v>
      </c>
    </row>
    <row r="64" spans="1:7">
      <c r="A64" s="7" t="s">
        <v>171</v>
      </c>
      <c r="B64" s="12">
        <v>0.25</v>
      </c>
      <c r="D64" s="4" t="s">
        <v>166</v>
      </c>
      <c r="F64" s="7" t="s">
        <v>18</v>
      </c>
    </row>
    <row r="66" spans="1:7">
      <c r="A66" s="11" t="s">
        <v>172</v>
      </c>
    </row>
    <row r="67" spans="1:7">
      <c r="A67" s="7" t="s">
        <v>173</v>
      </c>
      <c r="B67" s="12">
        <v>0.1</v>
      </c>
      <c r="C67" s="7" t="s">
        <v>16</v>
      </c>
      <c r="D67" s="4" t="s">
        <v>174</v>
      </c>
      <c r="F67" s="7" t="s">
        <v>18</v>
      </c>
      <c r="G67" s="4" t="s">
        <v>175</v>
      </c>
    </row>
    <row r="68" spans="1:7">
      <c r="A68" s="7" t="s">
        <v>176</v>
      </c>
      <c r="B68" s="12">
        <v>0.05</v>
      </c>
      <c r="C68" s="7" t="s">
        <v>155</v>
      </c>
      <c r="D68" s="4" t="s">
        <v>177</v>
      </c>
      <c r="F68" s="7" t="s">
        <v>18</v>
      </c>
    </row>
    <row r="69" spans="1:7">
      <c r="A69" s="7" t="s">
        <v>178</v>
      </c>
      <c r="B69" s="12">
        <v>0.1</v>
      </c>
      <c r="C69" s="7" t="s">
        <v>155</v>
      </c>
      <c r="D69" s="4" t="s">
        <v>179</v>
      </c>
      <c r="F69" s="7" t="s">
        <v>18</v>
      </c>
    </row>
    <row r="71" spans="1:7">
      <c r="A71" s="11" t="s">
        <v>180</v>
      </c>
    </row>
    <row r="72" spans="1:7">
      <c r="A72" s="7" t="s">
        <v>181</v>
      </c>
      <c r="B72" s="23">
        <v>66.40000000000001</v>
      </c>
      <c r="C72" s="7" t="s">
        <v>182</v>
      </c>
      <c r="D72" s="4" t="s">
        <v>183</v>
      </c>
      <c r="E72" s="7" t="s">
        <v>32</v>
      </c>
      <c r="F72" s="7" t="s">
        <v>13</v>
      </c>
      <c r="G72" s="4" t="s">
        <v>184</v>
      </c>
    </row>
    <row r="73" spans="1:7">
      <c r="A73" s="7" t="s">
        <v>185</v>
      </c>
      <c r="B73" s="13">
        <v>1</v>
      </c>
      <c r="D73" s="4" t="s">
        <v>186</v>
      </c>
      <c r="F73" s="7" t="s">
        <v>13</v>
      </c>
      <c r="G73" s="4" t="s">
        <v>187</v>
      </c>
    </row>
    <row r="74" spans="1:7">
      <c r="A74" s="7" t="s">
        <v>188</v>
      </c>
      <c r="B74" s="8" t="s">
        <v>189</v>
      </c>
      <c r="D74" s="4" t="s">
        <v>190</v>
      </c>
      <c r="F74" s="7" t="s">
        <v>62</v>
      </c>
    </row>
    <row r="75" spans="1:7">
      <c r="A75" s="7" t="s">
        <v>191</v>
      </c>
      <c r="B75" s="12">
        <v>0.05147630944990911</v>
      </c>
      <c r="C75" s="7" t="s">
        <v>16</v>
      </c>
      <c r="D75" s="4" t="s">
        <v>192</v>
      </c>
      <c r="F75" s="7" t="s">
        <v>13</v>
      </c>
      <c r="G75" s="4" t="s">
        <v>193</v>
      </c>
    </row>
    <row r="76" spans="1:7">
      <c r="A76" s="7" t="s">
        <v>194</v>
      </c>
      <c r="B76" s="12">
        <v>0.05</v>
      </c>
      <c r="C76" s="7" t="s">
        <v>16</v>
      </c>
      <c r="D76" s="4" t="s">
        <v>195</v>
      </c>
      <c r="F76" s="7" t="s">
        <v>13</v>
      </c>
    </row>
    <row r="77" spans="1:7">
      <c r="A77" s="7" t="s">
        <v>196</v>
      </c>
      <c r="B77" s="13">
        <v>80</v>
      </c>
      <c r="C77" s="7" t="s">
        <v>182</v>
      </c>
      <c r="D77" s="4" t="s">
        <v>197</v>
      </c>
      <c r="F77" s="7" t="s">
        <v>13</v>
      </c>
      <c r="G77" s="4" t="s">
        <v>198</v>
      </c>
    </row>
    <row r="78" spans="1:7">
      <c r="A78" s="7" t="s">
        <v>199</v>
      </c>
      <c r="B78" s="12">
        <v>0.1</v>
      </c>
      <c r="C78" s="7" t="s">
        <v>155</v>
      </c>
      <c r="D78" s="4" t="s">
        <v>200</v>
      </c>
      <c r="F78" s="7" t="s">
        <v>13</v>
      </c>
    </row>
    <row r="79" spans="1:7">
      <c r="A79" s="7" t="s">
        <v>201</v>
      </c>
      <c r="B79" s="24">
        <v>-0.08213240191392468</v>
      </c>
      <c r="C79" s="7" t="s">
        <v>16</v>
      </c>
      <c r="D79" s="4" t="s">
        <v>202</v>
      </c>
      <c r="F79" s="7" t="s">
        <v>13</v>
      </c>
    </row>
    <row r="80" spans="1:7">
      <c r="A80" s="7" t="s">
        <v>203</v>
      </c>
      <c r="B80" s="24">
        <v>0.08441961785821328</v>
      </c>
      <c r="C80" s="7" t="s">
        <v>16</v>
      </c>
      <c r="D80" s="4" t="s">
        <v>202</v>
      </c>
      <c r="F80" s="7" t="s">
        <v>13</v>
      </c>
    </row>
    <row r="81" spans="1:7">
      <c r="A81" s="7" t="s">
        <v>204</v>
      </c>
      <c r="B81" s="24">
        <v>0.3087638495427378</v>
      </c>
      <c r="C81" s="7" t="s">
        <v>16</v>
      </c>
      <c r="D81" s="4" t="s">
        <v>202</v>
      </c>
      <c r="F81" s="7" t="s">
        <v>13</v>
      </c>
    </row>
    <row r="82" spans="1:7">
      <c r="A82" s="7" t="s">
        <v>205</v>
      </c>
      <c r="B82" s="24">
        <v>-0.08047408174237619</v>
      </c>
      <c r="C82" s="7" t="s">
        <v>16</v>
      </c>
      <c r="D82" s="4" t="s">
        <v>202</v>
      </c>
      <c r="F82" s="7" t="s">
        <v>13</v>
      </c>
    </row>
    <row r="83" spans="1:7">
      <c r="A83" s="7" t="s">
        <v>206</v>
      </c>
      <c r="B83" s="24">
        <v>0.08014904762051306</v>
      </c>
      <c r="C83" s="7" t="s">
        <v>16</v>
      </c>
      <c r="D83" s="4" t="s">
        <v>202</v>
      </c>
      <c r="F83" s="7" t="s">
        <v>13</v>
      </c>
    </row>
    <row r="84" spans="1:7">
      <c r="A84" s="7" t="s">
        <v>207</v>
      </c>
      <c r="B84" s="24">
        <v>0.3654032615885429</v>
      </c>
      <c r="C84" s="7" t="s">
        <v>16</v>
      </c>
      <c r="D84" s="4" t="s">
        <v>202</v>
      </c>
      <c r="F84" s="7" t="s">
        <v>13</v>
      </c>
    </row>
    <row r="85" spans="1:7">
      <c r="A85" s="7" t="s">
        <v>208</v>
      </c>
      <c r="B85" s="13">
        <v>50</v>
      </c>
      <c r="C85" s="7" t="s">
        <v>209</v>
      </c>
      <c r="D85" s="4" t="s">
        <v>202</v>
      </c>
      <c r="F85" s="7" t="s">
        <v>13</v>
      </c>
      <c r="G85" s="4" t="s">
        <v>210</v>
      </c>
    </row>
    <row r="86" spans="1:7">
      <c r="A86" s="7" t="s">
        <v>211</v>
      </c>
      <c r="B86" s="24">
        <v>-0.09287949557917552</v>
      </c>
      <c r="C86" s="7" t="s">
        <v>16</v>
      </c>
      <c r="D86" s="4" t="s">
        <v>202</v>
      </c>
      <c r="F86" s="7" t="s">
        <v>13</v>
      </c>
    </row>
    <row r="87" spans="1:7">
      <c r="A87" s="7" t="s">
        <v>212</v>
      </c>
      <c r="B87" s="24">
        <v>0.08396989807679267</v>
      </c>
      <c r="C87" s="7" t="s">
        <v>16</v>
      </c>
      <c r="D87" s="4" t="s">
        <v>202</v>
      </c>
      <c r="F87" s="7" t="s">
        <v>13</v>
      </c>
    </row>
    <row r="88" spans="1:7">
      <c r="A88" s="7" t="s">
        <v>213</v>
      </c>
      <c r="B88" s="24">
        <v>0.4034233277815082</v>
      </c>
      <c r="C88" s="7" t="s">
        <v>16</v>
      </c>
      <c r="D88" s="4" t="s">
        <v>202</v>
      </c>
      <c r="F88" s="7" t="s">
        <v>13</v>
      </c>
    </row>
    <row r="89" spans="1:7">
      <c r="A89" s="7" t="s">
        <v>214</v>
      </c>
      <c r="B89" s="13">
        <v>77</v>
      </c>
      <c r="C89" s="7" t="s">
        <v>209</v>
      </c>
      <c r="D89" s="4" t="s">
        <v>202</v>
      </c>
      <c r="F89" s="7" t="s">
        <v>13</v>
      </c>
    </row>
    <row r="90" spans="1:7">
      <c r="A90" s="7" t="s">
        <v>215</v>
      </c>
      <c r="B90" s="21">
        <v>19800</v>
      </c>
      <c r="C90" s="7" t="s">
        <v>129</v>
      </c>
      <c r="D90" s="4" t="s">
        <v>216</v>
      </c>
      <c r="E90" s="7" t="s">
        <v>32</v>
      </c>
      <c r="F90" s="7" t="s">
        <v>13</v>
      </c>
      <c r="G90" s="4" t="s">
        <v>217</v>
      </c>
    </row>
    <row r="91" spans="1:7">
      <c r="A91" s="7" t="s">
        <v>218</v>
      </c>
      <c r="B91" s="12">
        <v>0.2</v>
      </c>
      <c r="C91" s="7" t="s">
        <v>16</v>
      </c>
      <c r="D91" s="4" t="s">
        <v>219</v>
      </c>
      <c r="F91" s="7" t="s">
        <v>18</v>
      </c>
      <c r="G91" s="4" t="s">
        <v>220</v>
      </c>
    </row>
    <row r="92" spans="1:7">
      <c r="A92" s="7" t="s">
        <v>221</v>
      </c>
      <c r="B92" s="13">
        <v>5</v>
      </c>
      <c r="C92" s="7" t="s">
        <v>222</v>
      </c>
      <c r="D92" s="4" t="s">
        <v>223</v>
      </c>
      <c r="F92" s="7" t="s">
        <v>13</v>
      </c>
      <c r="G92" s="4" t="s">
        <v>224</v>
      </c>
    </row>
    <row r="93" spans="1:7">
      <c r="A93" s="7" t="s">
        <v>225</v>
      </c>
      <c r="B93" s="13">
        <v>10</v>
      </c>
      <c r="C93" s="7" t="s">
        <v>209</v>
      </c>
      <c r="D93" s="4" t="s">
        <v>226</v>
      </c>
      <c r="F93" s="7" t="s">
        <v>13</v>
      </c>
    </row>
    <row r="96" spans="1:7">
      <c r="A96" s="11" t="s">
        <v>227</v>
      </c>
    </row>
    <row r="97" spans="1:5">
      <c r="A97" s="10" t="s">
        <v>228</v>
      </c>
      <c r="B97" s="10" t="s">
        <v>229</v>
      </c>
      <c r="C97" s="10" t="s">
        <v>230</v>
      </c>
      <c r="D97" s="10" t="s">
        <v>231</v>
      </c>
      <c r="E97" s="10" t="s">
        <v>5</v>
      </c>
    </row>
    <row r="98" spans="1:5">
      <c r="A98" s="7" t="s">
        <v>232</v>
      </c>
      <c r="B98" s="22">
        <v>0</v>
      </c>
      <c r="C98" s="22">
        <v>200</v>
      </c>
      <c r="D98" s="24">
        <v>0.11</v>
      </c>
      <c r="E98" s="4" t="s">
        <v>233</v>
      </c>
    </row>
    <row r="99" spans="1:5">
      <c r="A99" s="7" t="s">
        <v>234</v>
      </c>
      <c r="B99" s="22">
        <v>200</v>
      </c>
      <c r="C99" s="22">
        <v>20000</v>
      </c>
      <c r="D99" s="24">
        <v>0.22</v>
      </c>
      <c r="E99" s="4" t="s">
        <v>235</v>
      </c>
    </row>
    <row r="100" spans="1:5">
      <c r="A100" s="7" t="s">
        <v>236</v>
      </c>
      <c r="B100" s="22">
        <v>20000</v>
      </c>
      <c r="C100" s="22">
        <v>300000</v>
      </c>
      <c r="D100" s="24">
        <v>0.242</v>
      </c>
      <c r="E100" s="4" t="s">
        <v>235</v>
      </c>
    </row>
    <row r="101" spans="1:5">
      <c r="A101" s="7" t="s">
        <v>237</v>
      </c>
      <c r="B101" s="22">
        <v>300000</v>
      </c>
      <c r="C101" s="22"/>
      <c r="D101" s="24">
        <v>0.275</v>
      </c>
      <c r="E101" s="4" t="s">
        <v>235</v>
      </c>
    </row>
    <row r="102" spans="1:5">
      <c r="A102" s="9" t="s">
        <v>238</v>
      </c>
    </row>
    <row r="104" spans="1:5">
      <c r="A104" s="11" t="s">
        <v>239</v>
      </c>
    </row>
    <row r="105" spans="1:5">
      <c r="A105" s="10" t="s">
        <v>240</v>
      </c>
      <c r="B105" s="10" t="s">
        <v>241</v>
      </c>
    </row>
    <row r="106" spans="1:5">
      <c r="A106" s="7" t="s">
        <v>242</v>
      </c>
      <c r="B106" s="8" t="s">
        <v>243</v>
      </c>
    </row>
    <row r="107" spans="1:5">
      <c r="A107" s="7" t="s">
        <v>244</v>
      </c>
      <c r="B107" s="8" t="s">
        <v>245</v>
      </c>
    </row>
    <row r="108" spans="1:5">
      <c r="A108" s="7" t="s">
        <v>246</v>
      </c>
      <c r="B108" s="8" t="s">
        <v>247</v>
      </c>
    </row>
    <row r="109" spans="1:5">
      <c r="A109" s="7" t="s">
        <v>248</v>
      </c>
      <c r="B109" s="8" t="s">
        <v>249</v>
      </c>
    </row>
    <row r="110" spans="1:5">
      <c r="A110" s="7" t="s">
        <v>250</v>
      </c>
      <c r="B110" s="8" t="s">
        <v>251</v>
      </c>
    </row>
    <row r="111" spans="1:5">
      <c r="A111" s="7" t="s">
        <v>252</v>
      </c>
      <c r="B111" s="8" t="s">
        <v>253</v>
      </c>
    </row>
    <row r="112" spans="1:5">
      <c r="A112" s="7" t="s">
        <v>254</v>
      </c>
      <c r="B112" s="8" t="s">
        <v>255</v>
      </c>
    </row>
    <row r="113" spans="1:6">
      <c r="A113" s="7" t="s">
        <v>256</v>
      </c>
      <c r="B113" s="8" t="s">
        <v>257</v>
      </c>
    </row>
    <row r="114" spans="1:6">
      <c r="A114" s="7" t="s">
        <v>258</v>
      </c>
      <c r="B114" s="8" t="s">
        <v>259</v>
      </c>
    </row>
    <row r="115" spans="1:6">
      <c r="A115" s="7" t="s">
        <v>260</v>
      </c>
      <c r="B115" s="8" t="s">
        <v>261</v>
      </c>
    </row>
    <row r="116" spans="1:6">
      <c r="A116" s="7" t="s">
        <v>262</v>
      </c>
      <c r="B116" s="8" t="s">
        <v>263</v>
      </c>
    </row>
    <row r="118" spans="1:6">
      <c r="A118" s="11" t="s">
        <v>264</v>
      </c>
    </row>
    <row r="119" spans="1:6">
      <c r="A119" s="10" t="s">
        <v>2</v>
      </c>
      <c r="B119" s="10" t="s">
        <v>265</v>
      </c>
      <c r="C119" s="10" t="s">
        <v>11</v>
      </c>
      <c r="D119" s="10" t="s">
        <v>266</v>
      </c>
      <c r="E119" s="10" t="s">
        <v>235</v>
      </c>
      <c r="F119" s="10" t="s">
        <v>267</v>
      </c>
    </row>
    <row r="120" spans="1:6">
      <c r="A120" s="7" t="s">
        <v>268</v>
      </c>
      <c r="B120" s="12">
        <v>-0.02</v>
      </c>
      <c r="C120" s="12">
        <v>0</v>
      </c>
      <c r="D120" s="12">
        <v>0.02</v>
      </c>
      <c r="F120" s="4" t="s">
        <v>270</v>
      </c>
    </row>
    <row r="121" spans="1:6">
      <c r="A121" s="7" t="s">
        <v>269</v>
      </c>
      <c r="B121" s="12">
        <v>-0.02</v>
      </c>
      <c r="C121" s="12">
        <v>0</v>
      </c>
      <c r="D121" s="12">
        <v>0.02</v>
      </c>
    </row>
    <row r="123" spans="1:6">
      <c r="A123" s="11" t="s">
        <v>271</v>
      </c>
    </row>
    <row r="124" spans="1:6">
      <c r="A124" s="10" t="s">
        <v>272</v>
      </c>
      <c r="B124" s="10" t="s">
        <v>273</v>
      </c>
      <c r="C124" s="10" t="s">
        <v>274</v>
      </c>
      <c r="D124" s="10" t="s">
        <v>5</v>
      </c>
    </row>
    <row r="125" spans="1:6">
      <c r="A125" s="7" t="s">
        <v>275</v>
      </c>
      <c r="B125" s="16">
        <v>0</v>
      </c>
      <c r="C125" s="22">
        <v>0</v>
      </c>
      <c r="D125" s="4" t="s">
        <v>276</v>
      </c>
    </row>
    <row r="128" spans="1:6">
      <c r="A128" s="11" t="s">
        <v>277</v>
      </c>
    </row>
    <row r="129" spans="1:5">
      <c r="A129" s="10" t="s">
        <v>2</v>
      </c>
      <c r="B129" s="10" t="s">
        <v>3</v>
      </c>
      <c r="C129" s="10" t="s">
        <v>5</v>
      </c>
    </row>
    <row r="130" spans="1:5">
      <c r="A130" s="7" t="s">
        <v>278</v>
      </c>
      <c r="B130" s="13">
        <v>6</v>
      </c>
      <c r="C130" s="4" t="s">
        <v>281</v>
      </c>
    </row>
    <row r="131" spans="1:5">
      <c r="A131" s="7" t="s">
        <v>279</v>
      </c>
      <c r="B131" s="25">
        <v>0.623993707645853</v>
      </c>
    </row>
    <row r="132" spans="1:5">
      <c r="A132" s="7" t="s">
        <v>280</v>
      </c>
      <c r="B132" s="25">
        <v>0.15</v>
      </c>
    </row>
    <row r="135" spans="1:5">
      <c r="A135" s="11" t="s">
        <v>282</v>
      </c>
    </row>
    <row r="136" spans="1:5">
      <c r="A136" s="10" t="s">
        <v>283</v>
      </c>
      <c r="B136" s="10" t="s">
        <v>284</v>
      </c>
      <c r="C136" s="10" t="s">
        <v>285</v>
      </c>
      <c r="D136" s="10" t="s">
        <v>286</v>
      </c>
    </row>
    <row r="137" spans="1:5">
      <c r="A137" s="7" t="s">
        <v>287</v>
      </c>
      <c r="B137" s="7" t="s">
        <v>288</v>
      </c>
      <c r="C137" s="7" t="s">
        <v>242</v>
      </c>
      <c r="D137" s="7" t="s">
        <v>289</v>
      </c>
    </row>
    <row r="138" spans="1:5">
      <c r="A138" s="7" t="s">
        <v>290</v>
      </c>
      <c r="B138" s="7" t="s">
        <v>288</v>
      </c>
      <c r="C138" s="7" t="s">
        <v>242</v>
      </c>
      <c r="D138" s="7" t="s">
        <v>291</v>
      </c>
    </row>
    <row r="139" spans="1:5">
      <c r="A139" s="7" t="s">
        <v>292</v>
      </c>
      <c r="B139" s="7" t="s">
        <v>288</v>
      </c>
      <c r="C139" s="7" t="s">
        <v>242</v>
      </c>
      <c r="D139" s="7" t="s">
        <v>291</v>
      </c>
    </row>
    <row r="140" spans="1:5">
      <c r="A140" s="7" t="s">
        <v>293</v>
      </c>
      <c r="B140" s="7" t="s">
        <v>288</v>
      </c>
      <c r="C140" s="7" t="s">
        <v>242</v>
      </c>
      <c r="D140" s="7" t="s">
        <v>291</v>
      </c>
    </row>
    <row r="141" spans="1:5">
      <c r="A141" s="7" t="s">
        <v>294</v>
      </c>
      <c r="B141" s="7" t="s">
        <v>288</v>
      </c>
      <c r="C141" s="7" t="s">
        <v>242</v>
      </c>
      <c r="D141" s="7" t="s">
        <v>291</v>
      </c>
    </row>
    <row r="142" spans="1:5">
      <c r="A142" s="7" t="s">
        <v>295</v>
      </c>
      <c r="B142" s="7" t="s">
        <v>288</v>
      </c>
      <c r="C142" s="7" t="s">
        <v>242</v>
      </c>
      <c r="D142" s="7" t="s">
        <v>291</v>
      </c>
    </row>
    <row r="144" spans="1:5">
      <c r="A144" s="10" t="s">
        <v>296</v>
      </c>
      <c r="B144" s="10" t="s">
        <v>297</v>
      </c>
      <c r="C144" s="10" t="s">
        <v>298</v>
      </c>
      <c r="D144" s="10" t="s">
        <v>299</v>
      </c>
      <c r="E144" s="10" t="s">
        <v>300</v>
      </c>
    </row>
    <row r="145" spans="1:9">
      <c r="A145" s="7" t="s">
        <v>301</v>
      </c>
      <c r="B145" s="13">
        <v>3</v>
      </c>
      <c r="C145" s="26" t="s">
        <v>302</v>
      </c>
      <c r="D145" s="26" t="s">
        <v>302</v>
      </c>
      <c r="E145" s="26" t="s">
        <v>302</v>
      </c>
    </row>
    <row r="146" spans="1:9">
      <c r="A146" s="7" t="s">
        <v>303</v>
      </c>
      <c r="B146" s="13">
        <v>3</v>
      </c>
      <c r="C146" s="26" t="s">
        <v>302</v>
      </c>
      <c r="D146" s="26" t="s">
        <v>302</v>
      </c>
      <c r="E146" s="26" t="s">
        <v>302</v>
      </c>
    </row>
    <row r="147" spans="1:9">
      <c r="A147" s="7" t="s">
        <v>304</v>
      </c>
      <c r="B147" s="13">
        <v>3</v>
      </c>
      <c r="C147" s="26" t="s">
        <v>302</v>
      </c>
      <c r="D147" s="26" t="s">
        <v>302</v>
      </c>
      <c r="E147" s="26" t="s">
        <v>302</v>
      </c>
    </row>
    <row r="148" spans="1:9">
      <c r="A148" s="7" t="s">
        <v>305</v>
      </c>
      <c r="B148" s="13">
        <v>6</v>
      </c>
      <c r="C148" s="26">
        <v>0.4664964691953677</v>
      </c>
      <c r="D148" s="26">
        <v>0.5888853737157017</v>
      </c>
      <c r="E148" s="26">
        <v>0.9647900702370741</v>
      </c>
    </row>
    <row r="149" spans="1:9">
      <c r="A149" s="7" t="s">
        <v>306</v>
      </c>
      <c r="B149" s="13">
        <v>5</v>
      </c>
      <c r="C149" s="26">
        <v>5.259098198650557</v>
      </c>
      <c r="D149" s="26">
        <v>7.648217882532227</v>
      </c>
      <c r="E149" s="26">
        <v>10.00650844019911</v>
      </c>
    </row>
    <row r="150" spans="1:9">
      <c r="A150" s="9" t="s">
        <v>307</v>
      </c>
    </row>
    <row r="152" spans="1:9">
      <c r="A152" s="11" t="s">
        <v>308</v>
      </c>
      <c r="G152" s="3" t="s">
        <v>309</v>
      </c>
      <c r="H152" s="12">
        <v>0.3</v>
      </c>
    </row>
    <row r="153" spans="1:9">
      <c r="A153" s="10" t="s">
        <v>310</v>
      </c>
      <c r="B153" s="10" t="s">
        <v>311</v>
      </c>
      <c r="C153" s="10" t="s">
        <v>312</v>
      </c>
      <c r="D153" s="10" t="s">
        <v>313</v>
      </c>
      <c r="E153" s="10" t="s">
        <v>314</v>
      </c>
      <c r="F153" s="10" t="s">
        <v>315</v>
      </c>
      <c r="G153" s="10" t="s">
        <v>316</v>
      </c>
      <c r="H153" s="10" t="s">
        <v>317</v>
      </c>
      <c r="I153" s="10" t="s">
        <v>5</v>
      </c>
    </row>
    <row r="154" spans="1:9">
      <c r="A154" s="7" t="s">
        <v>318</v>
      </c>
      <c r="B154" s="7" t="s">
        <v>319</v>
      </c>
      <c r="C154" s="13">
        <v>1</v>
      </c>
      <c r="D154" s="13">
        <v>1</v>
      </c>
      <c r="E154" s="13">
        <v>11897000</v>
      </c>
      <c r="F154" s="21">
        <v>12000</v>
      </c>
      <c r="G154" s="22">
        <v>21178</v>
      </c>
      <c r="H154" s="13">
        <v>0</v>
      </c>
      <c r="I154" s="9" t="s">
        <v>320</v>
      </c>
    </row>
    <row r="155" spans="1:9">
      <c r="A155" s="7" t="s">
        <v>321</v>
      </c>
      <c r="B155" s="7" t="s">
        <v>322</v>
      </c>
      <c r="C155" s="13">
        <v>0</v>
      </c>
      <c r="D155" s="13">
        <v>0</v>
      </c>
      <c r="E155" s="13">
        <v>4314000</v>
      </c>
      <c r="F155" s="21">
        <v>0</v>
      </c>
      <c r="G155" s="22">
        <v>28189</v>
      </c>
      <c r="H155" s="13">
        <v>1</v>
      </c>
      <c r="I155" s="9" t="s">
        <v>323</v>
      </c>
    </row>
    <row r="156" spans="1:9">
      <c r="A156" s="7" t="s">
        <v>324</v>
      </c>
      <c r="B156" s="7" t="s">
        <v>322</v>
      </c>
      <c r="C156" s="13">
        <v>0</v>
      </c>
      <c r="D156" s="13">
        <v>0</v>
      </c>
      <c r="E156" s="13">
        <v>86000</v>
      </c>
      <c r="F156" s="21">
        <v>0</v>
      </c>
      <c r="G156" s="22">
        <v>1799</v>
      </c>
      <c r="H156" s="13">
        <v>1</v>
      </c>
      <c r="I156" s="9" t="s">
        <v>323</v>
      </c>
    </row>
    <row r="159" spans="1:9">
      <c r="A159" s="11" t="s">
        <v>325</v>
      </c>
      <c r="G159" s="3" t="s">
        <v>326</v>
      </c>
      <c r="H159" s="12">
        <v>0</v>
      </c>
    </row>
    <row r="160" spans="1:9">
      <c r="A160" s="10" t="s">
        <v>327</v>
      </c>
      <c r="B160" s="10" t="s">
        <v>311</v>
      </c>
      <c r="C160" s="10" t="s">
        <v>328</v>
      </c>
      <c r="D160" s="10" t="s">
        <v>314</v>
      </c>
      <c r="E160" s="10" t="s">
        <v>315</v>
      </c>
      <c r="F160" s="10" t="s">
        <v>329</v>
      </c>
      <c r="G160" s="10" t="s">
        <v>330</v>
      </c>
      <c r="H160" s="10" t="s">
        <v>5</v>
      </c>
    </row>
    <row r="161" spans="1:8">
      <c r="A161" s="7" t="s">
        <v>331</v>
      </c>
      <c r="B161" s="7" t="s">
        <v>332</v>
      </c>
      <c r="C161" s="12">
        <v>0.305</v>
      </c>
      <c r="D161" s="13">
        <v>4328000</v>
      </c>
      <c r="E161" s="21">
        <v>12000</v>
      </c>
      <c r="F161" s="22">
        <v>12262</v>
      </c>
      <c r="G161" s="9" t="s">
        <v>333</v>
      </c>
      <c r="H161" s="9" t="s">
        <v>334</v>
      </c>
    </row>
  </sheetData>
  <dataValidations count="4">
    <dataValidation type="list" allowBlank="1" showInputMessage="1" showErrorMessage="1" sqref="B6">
      <formula1>ScenNames</formula1>
    </dataValidation>
    <dataValidation type="list" allowBlank="1" showInputMessage="1" showErrorMessage="1" sqref="B7">
      <formula1>SRP_List</formula1>
    </dataValidation>
    <dataValidation type="list" allowBlank="1" showInputMessage="1" showErrorMessage="1" sqref="B9">
      <formula1>"normal,mixed"</formula1>
    </dataValidation>
    <dataValidation type="list" allowBlank="1" showInputMessage="1" showErrorMessage="1" sqref="B8">
      <formula1>"5,10"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J38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34.7109375" customWidth="1"/>
    <col min="2" max="2" width="20.7109375" customWidth="1"/>
    <col min="3" max="10" width="14.7109375" customWidth="1"/>
  </cols>
  <sheetData>
    <row r="1" spans="1:10">
      <c r="A1" s="1" t="s">
        <v>335</v>
      </c>
    </row>
    <row r="2" spans="1:10">
      <c r="A2" s="9" t="s">
        <v>336</v>
      </c>
    </row>
    <row r="4" spans="1:10">
      <c r="A4" s="10" t="s">
        <v>337</v>
      </c>
      <c r="B4" s="10" t="s">
        <v>235</v>
      </c>
      <c r="C4" s="10" t="s">
        <v>341</v>
      </c>
      <c r="D4" s="10" t="s">
        <v>341</v>
      </c>
      <c r="E4" s="10" t="s">
        <v>341</v>
      </c>
      <c r="F4" s="10" t="s">
        <v>341</v>
      </c>
      <c r="G4" s="10" t="s">
        <v>341</v>
      </c>
      <c r="H4" s="10" t="s">
        <v>341</v>
      </c>
      <c r="I4" s="10" t="s">
        <v>341</v>
      </c>
      <c r="J4" s="10" t="s">
        <v>341</v>
      </c>
    </row>
    <row r="5" spans="1:10">
      <c r="A5" s="10" t="s">
        <v>338</v>
      </c>
      <c r="B5" s="10" t="s">
        <v>235</v>
      </c>
      <c r="C5" s="10" t="s">
        <v>342</v>
      </c>
      <c r="D5" s="10" t="s">
        <v>344</v>
      </c>
      <c r="E5" s="10" t="s">
        <v>346</v>
      </c>
      <c r="F5" s="10" t="s">
        <v>348</v>
      </c>
      <c r="G5" s="10" t="s">
        <v>350</v>
      </c>
      <c r="H5" s="10" t="s">
        <v>352</v>
      </c>
      <c r="I5" s="10" t="s">
        <v>353</v>
      </c>
      <c r="J5" s="10" t="s">
        <v>356</v>
      </c>
    </row>
    <row r="6" spans="1:10">
      <c r="A6" s="10" t="s">
        <v>339</v>
      </c>
      <c r="B6" s="10" t="s">
        <v>235</v>
      </c>
      <c r="C6" s="10" t="s">
        <v>343</v>
      </c>
      <c r="D6" s="10" t="s">
        <v>345</v>
      </c>
      <c r="E6" s="10" t="s">
        <v>347</v>
      </c>
      <c r="F6" s="10" t="s">
        <v>349</v>
      </c>
      <c r="G6" s="10" t="s">
        <v>351</v>
      </c>
      <c r="H6" s="10" t="s">
        <v>351</v>
      </c>
      <c r="I6" s="10" t="s">
        <v>354</v>
      </c>
      <c r="J6" s="10" t="s">
        <v>354</v>
      </c>
    </row>
    <row r="7" spans="1:10">
      <c r="A7" s="10" t="s">
        <v>340</v>
      </c>
      <c r="B7" s="10" t="s">
        <v>235</v>
      </c>
      <c r="C7" s="9" t="s">
        <v>322</v>
      </c>
      <c r="D7" s="9" t="s">
        <v>343</v>
      </c>
      <c r="E7" s="9" t="s">
        <v>345</v>
      </c>
      <c r="F7" s="9" t="s">
        <v>347</v>
      </c>
      <c r="G7" s="9" t="s">
        <v>349</v>
      </c>
      <c r="H7" s="9" t="s">
        <v>322</v>
      </c>
      <c r="I7" s="9" t="s">
        <v>355</v>
      </c>
      <c r="J7" s="9" t="s">
        <v>322</v>
      </c>
    </row>
    <row r="8" spans="1:10">
      <c r="A8" s="7" t="s">
        <v>357</v>
      </c>
      <c r="B8" s="9" t="s">
        <v>358</v>
      </c>
      <c r="C8" s="22">
        <v>3540.874603</v>
      </c>
      <c r="D8" s="22">
        <v>3324.119932</v>
      </c>
      <c r="E8" s="22">
        <v>3307.069345</v>
      </c>
      <c r="F8" s="22">
        <v>4545.663764</v>
      </c>
      <c r="G8" s="22">
        <v>5169.930829</v>
      </c>
      <c r="H8" s="22">
        <v>3686.978368</v>
      </c>
      <c r="I8" s="22">
        <v>2598.727821</v>
      </c>
      <c r="J8" s="22">
        <v>1699.452557</v>
      </c>
    </row>
    <row r="9" spans="1:10">
      <c r="A9" s="7" t="s">
        <v>359</v>
      </c>
      <c r="B9" s="9" t="s">
        <v>360</v>
      </c>
      <c r="C9" s="22">
        <v>113.405449</v>
      </c>
      <c r="D9" s="22">
        <v>112.798449</v>
      </c>
      <c r="E9" s="22">
        <v>98.116134</v>
      </c>
      <c r="F9" s="22">
        <v>93.33029900000001</v>
      </c>
      <c r="G9" s="22">
        <v>90.56944900000001</v>
      </c>
      <c r="H9" s="22">
        <v>99.836631</v>
      </c>
      <c r="I9" s="22">
        <v>48.778481</v>
      </c>
      <c r="J9" s="22">
        <v>51.642809</v>
      </c>
    </row>
    <row r="10" spans="1:10">
      <c r="A10" s="7" t="s">
        <v>361</v>
      </c>
      <c r="B10" s="9" t="s">
        <v>362</v>
      </c>
      <c r="C10" s="22">
        <v>1182.376922</v>
      </c>
      <c r="D10" s="22">
        <v>1374.894225</v>
      </c>
      <c r="E10" s="22">
        <v>-324.438825</v>
      </c>
      <c r="F10" s="22">
        <v>1453.666724</v>
      </c>
      <c r="G10" s="22">
        <v>75.220169</v>
      </c>
      <c r="H10" s="22">
        <v>-1794.823215</v>
      </c>
      <c r="I10" s="22">
        <v>772.552532</v>
      </c>
      <c r="J10" s="22">
        <v>-259.272833</v>
      </c>
    </row>
    <row r="11" spans="1:10">
      <c r="A11" s="7" t="s">
        <v>363</v>
      </c>
      <c r="B11" s="9" t="s">
        <v>363</v>
      </c>
      <c r="C11" s="22">
        <v>913.0395619999999</v>
      </c>
      <c r="D11" s="22">
        <v>18012.262486</v>
      </c>
      <c r="E11" s="22">
        <v>-11344.259043</v>
      </c>
      <c r="F11" s="22">
        <v>4885.398113</v>
      </c>
      <c r="G11" s="22">
        <v>-5289.80696</v>
      </c>
      <c r="H11" s="22">
        <v>-4873.479855</v>
      </c>
      <c r="I11" s="22">
        <v>744.4047880000001</v>
      </c>
      <c r="J11" s="22">
        <v>914.0246299999999</v>
      </c>
    </row>
    <row r="12" spans="1:10">
      <c r="A12" s="7" t="s">
        <v>364</v>
      </c>
      <c r="B12" s="9" t="s">
        <v>365</v>
      </c>
      <c r="C12" s="22">
        <v>913.0395619999999</v>
      </c>
      <c r="D12" s="22">
        <v>18012.262486</v>
      </c>
      <c r="E12" s="22">
        <v>-11344.259043</v>
      </c>
      <c r="F12" s="22">
        <v>4885.398113</v>
      </c>
      <c r="G12" s="22">
        <v>-5289.80696</v>
      </c>
      <c r="H12" s="22">
        <v>-4873.479855</v>
      </c>
      <c r="I12" s="22">
        <v>562.225052</v>
      </c>
      <c r="J12" s="22">
        <v>-21.678901</v>
      </c>
    </row>
    <row r="13" spans="1:10">
      <c r="A13" s="7" t="s">
        <v>366</v>
      </c>
      <c r="B13" s="9" t="s">
        <v>366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</row>
    <row r="14" spans="1:10">
      <c r="A14" s="7" t="s">
        <v>367</v>
      </c>
      <c r="B14" s="9" t="s">
        <v>368</v>
      </c>
      <c r="C14" s="22">
        <v>1.2</v>
      </c>
      <c r="D14" s="22">
        <v>3.9</v>
      </c>
      <c r="E14" s="22">
        <v>4.773637</v>
      </c>
      <c r="F14" s="22">
        <v>1.875</v>
      </c>
      <c r="G14" s="22">
        <v>69.992727</v>
      </c>
      <c r="H14" s="22">
        <v>93.67</v>
      </c>
      <c r="I14" s="22">
        <v>75.075</v>
      </c>
      <c r="J14" s="22">
        <v>8.4846</v>
      </c>
    </row>
    <row r="15" spans="1:10">
      <c r="A15" s="7" t="s">
        <v>369</v>
      </c>
      <c r="B15" s="9" t="s">
        <v>370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</row>
    <row r="16" spans="1:10">
      <c r="A16" s="7" t="s">
        <v>371</v>
      </c>
      <c r="B16" s="9" t="s">
        <v>372</v>
      </c>
      <c r="C16" s="22"/>
      <c r="D16" s="22">
        <v>129.868</v>
      </c>
      <c r="E16" s="22">
        <v>114.227</v>
      </c>
      <c r="F16" s="22">
        <v>103.232</v>
      </c>
      <c r="G16" s="22">
        <v>93.911</v>
      </c>
      <c r="H16" s="22">
        <v>116.591</v>
      </c>
      <c r="I16" s="22">
        <v>50.33</v>
      </c>
      <c r="J16" s="22">
        <v>70.66</v>
      </c>
    </row>
    <row r="17" spans="1:10">
      <c r="A17" s="7" t="s">
        <v>373</v>
      </c>
      <c r="B17" s="9" t="s">
        <v>373</v>
      </c>
      <c r="C17" s="22">
        <v>0</v>
      </c>
      <c r="D17" s="22">
        <v>129.828</v>
      </c>
      <c r="E17" s="22">
        <v>114.187</v>
      </c>
      <c r="F17" s="22">
        <v>103.232</v>
      </c>
      <c r="G17" s="22">
        <v>93.911</v>
      </c>
      <c r="H17" s="22">
        <v>110.095</v>
      </c>
      <c r="I17" s="22">
        <v>50.33</v>
      </c>
      <c r="J17" s="22">
        <v>62.205</v>
      </c>
    </row>
    <row r="18" spans="1:10">
      <c r="A18" s="7" t="s">
        <v>374</v>
      </c>
      <c r="B18" s="9" t="s">
        <v>375</v>
      </c>
      <c r="C18" s="22">
        <v>13131.713298</v>
      </c>
      <c r="D18" s="22">
        <v>9346.139483000001</v>
      </c>
      <c r="E18" s="22">
        <v>7010.940383</v>
      </c>
      <c r="F18" s="22">
        <v>2660.636579</v>
      </c>
      <c r="G18" s="22">
        <v>1286.976171</v>
      </c>
      <c r="H18" s="22">
        <v>570.967837</v>
      </c>
      <c r="I18" s="22">
        <v>1331.822483</v>
      </c>
      <c r="J18" s="22">
        <v>846.274326</v>
      </c>
    </row>
    <row r="19" spans="1:10">
      <c r="A19" s="7" t="s">
        <v>376</v>
      </c>
      <c r="B19" s="9" t="s">
        <v>377</v>
      </c>
      <c r="C19" s="22">
        <v>35.144</v>
      </c>
      <c r="D19" s="22">
        <v>2.47</v>
      </c>
      <c r="E19" s="22">
        <v>1.685</v>
      </c>
      <c r="F19" s="22">
        <v>0.9350000000000001</v>
      </c>
      <c r="G19" s="22">
        <v>0.9350000000000001</v>
      </c>
      <c r="H19" s="22">
        <v>0</v>
      </c>
      <c r="I19" s="22">
        <v>0.9350000000000001</v>
      </c>
      <c r="J19" s="22">
        <v>0</v>
      </c>
    </row>
    <row r="20" spans="1:10">
      <c r="A20" s="7" t="s">
        <v>378</v>
      </c>
      <c r="B20" s="9" t="s">
        <v>379</v>
      </c>
      <c r="C20" s="22">
        <v>592.553096</v>
      </c>
      <c r="D20" s="22">
        <v>468.071426</v>
      </c>
      <c r="E20" s="22">
        <v>3486.470478</v>
      </c>
      <c r="F20" s="22">
        <v>2546.233721</v>
      </c>
      <c r="G20" s="22">
        <v>774.3516450000001</v>
      </c>
      <c r="H20" s="22">
        <v>434.983414</v>
      </c>
      <c r="I20" s="22">
        <v>514.1192649999999</v>
      </c>
      <c r="J20" s="22">
        <v>542.24401</v>
      </c>
    </row>
    <row r="21" spans="1:10">
      <c r="A21" s="7" t="s">
        <v>380</v>
      </c>
      <c r="B21" s="9" t="s">
        <v>381</v>
      </c>
      <c r="C21" s="22">
        <v>290.920263</v>
      </c>
      <c r="D21" s="22">
        <v>242.176998</v>
      </c>
      <c r="E21" s="22">
        <v>209.947867</v>
      </c>
      <c r="F21" s="22">
        <v>185.775241</v>
      </c>
      <c r="G21" s="22">
        <v>292.721819</v>
      </c>
      <c r="H21" s="22">
        <v>306.973694</v>
      </c>
      <c r="I21" s="22">
        <v>314.428787</v>
      </c>
      <c r="J21" s="22">
        <v>300.29703</v>
      </c>
    </row>
    <row r="22" spans="1:10">
      <c r="A22" s="7" t="s">
        <v>382</v>
      </c>
      <c r="B22" s="9" t="s">
        <v>383</v>
      </c>
      <c r="C22" s="22">
        <v>7.680093</v>
      </c>
      <c r="D22" s="22">
        <v>7.64</v>
      </c>
      <c r="E22" s="22">
        <v>7.64</v>
      </c>
      <c r="F22" s="22">
        <v>7.64</v>
      </c>
      <c r="G22" s="22">
        <v>7.64</v>
      </c>
      <c r="H22" s="22">
        <v>7.64</v>
      </c>
      <c r="I22" s="22">
        <v>7.64</v>
      </c>
      <c r="J22" s="22">
        <v>7.64</v>
      </c>
    </row>
    <row r="23" spans="1:10">
      <c r="A23" s="7" t="s">
        <v>384</v>
      </c>
      <c r="B23" s="9" t="s">
        <v>385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23.584536</v>
      </c>
      <c r="I23" s="22">
        <v>0</v>
      </c>
      <c r="J23" s="22">
        <v>56.911371</v>
      </c>
    </row>
    <row r="24" spans="1:10">
      <c r="A24" s="7" t="s">
        <v>386</v>
      </c>
      <c r="B24" s="9" t="s">
        <v>387</v>
      </c>
      <c r="C24" s="22">
        <v>0</v>
      </c>
      <c r="D24" s="22">
        <v>0</v>
      </c>
      <c r="E24" s="22">
        <v>0</v>
      </c>
      <c r="F24" s="22">
        <v>0</v>
      </c>
      <c r="G24" s="22">
        <v>1500</v>
      </c>
      <c r="H24" s="22">
        <v>0</v>
      </c>
      <c r="I24" s="22">
        <v>725.8564190000001</v>
      </c>
      <c r="J24" s="22">
        <v>0</v>
      </c>
    </row>
    <row r="25" spans="1:10">
      <c r="A25" s="7" t="s">
        <v>388</v>
      </c>
      <c r="B25" s="9" t="s">
        <v>389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23.879169</v>
      </c>
      <c r="I25" s="22">
        <v>0</v>
      </c>
      <c r="J25" s="22">
        <v>55.459414</v>
      </c>
    </row>
    <row r="26" spans="1:10">
      <c r="A26" s="7" t="s">
        <v>390</v>
      </c>
      <c r="B26" s="9" t="s">
        <v>391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</row>
    <row r="27" spans="1:10">
      <c r="A27" s="7" t="s">
        <v>392</v>
      </c>
      <c r="B27" s="9" t="s">
        <v>393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</row>
    <row r="28" spans="1:10">
      <c r="A28" s="7" t="s">
        <v>394</v>
      </c>
      <c r="B28" s="9" t="s">
        <v>395</v>
      </c>
      <c r="C28" s="22">
        <v>144863.016564</v>
      </c>
      <c r="D28" s="22">
        <v>167740.111257</v>
      </c>
      <c r="E28" s="22">
        <v>117746.918879</v>
      </c>
      <c r="F28" s="22">
        <v>122562.278456</v>
      </c>
      <c r="G28" s="22">
        <v>117240.744569</v>
      </c>
      <c r="H28" s="22">
        <v>119185.565622</v>
      </c>
      <c r="I28" s="22">
        <v>117802.969621</v>
      </c>
      <c r="J28" s="22">
        <v>119163.886721</v>
      </c>
    </row>
    <row r="31" spans="1:10">
      <c r="A31" s="11" t="s">
        <v>396</v>
      </c>
    </row>
    <row r="32" spans="1:10">
      <c r="A32" s="10" t="s">
        <v>397</v>
      </c>
      <c r="B32" s="10" t="s">
        <v>228</v>
      </c>
      <c r="C32" s="10" t="s">
        <v>398</v>
      </c>
      <c r="D32" s="10" t="s">
        <v>399</v>
      </c>
    </row>
    <row r="33" spans="1:4">
      <c r="A33" s="7" t="s">
        <v>400</v>
      </c>
      <c r="B33" s="7" t="s">
        <v>401</v>
      </c>
      <c r="C33" s="8" t="s">
        <v>402</v>
      </c>
      <c r="D33" s="22">
        <v>1111.450347</v>
      </c>
    </row>
    <row r="34" spans="1:4">
      <c r="A34" s="7" t="s">
        <v>403</v>
      </c>
      <c r="B34" s="7" t="s">
        <v>404</v>
      </c>
      <c r="C34" s="8" t="s">
        <v>405</v>
      </c>
      <c r="D34" s="22">
        <v>26435.924379</v>
      </c>
    </row>
    <row r="35" spans="1:4">
      <c r="A35" s="7" t="s">
        <v>406</v>
      </c>
      <c r="B35" s="7" t="s">
        <v>404</v>
      </c>
      <c r="C35" s="8" t="s">
        <v>407</v>
      </c>
      <c r="D35" s="22">
        <v>13228.925353</v>
      </c>
    </row>
    <row r="36" spans="1:4">
      <c r="A36" s="7" t="s">
        <v>408</v>
      </c>
      <c r="B36" s="7" t="s">
        <v>404</v>
      </c>
      <c r="C36" s="8" t="s">
        <v>409</v>
      </c>
      <c r="D36" s="22">
        <v>70894.005697</v>
      </c>
    </row>
    <row r="37" spans="1:4">
      <c r="A37" s="7" t="s">
        <v>410</v>
      </c>
      <c r="B37" s="7" t="s">
        <v>404</v>
      </c>
      <c r="C37" s="8" t="s">
        <v>405</v>
      </c>
      <c r="D37" s="22">
        <v>6060.681468</v>
      </c>
    </row>
    <row r="38" spans="1:4">
      <c r="A38" s="9" t="s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R95"/>
  <sheetViews>
    <sheetView showGridLines="0" workbookViewId="0">
      <pane xSplit="3" ySplit="47" topLeftCell="D48" activePane="bottomRight" state="frozen"/>
      <selection pane="topRight" activeCell="D1" sqref="D1"/>
      <selection pane="bottomLeft" activeCell="A48" sqref="A48"/>
      <selection pane="bottomRight"/>
    </sheetView>
  </sheetViews>
  <sheetFormatPr defaultRowHeight="15"/>
  <cols>
    <col min="1" max="1" width="36.7109375" customWidth="1"/>
    <col min="2" max="2" width="9.7109375" customWidth="1"/>
    <col min="3" max="3" width="13.7109375" customWidth="1"/>
    <col min="4" max="18" width="12.7109375" customWidth="1"/>
  </cols>
  <sheetData>
    <row r="1" spans="1:6">
      <c r="A1" s="1" t="s">
        <v>412</v>
      </c>
    </row>
    <row r="2" spans="1:6">
      <c r="A2" s="5" t="str">
        <f>"선택 시나리오: "&amp;ScenSel&amp;"   (2H26~"&amp;ExplicitEnd&amp;" 명시, 이후 "&amp;FadeYears&amp;"년 체감 → 영구)"</f>
        <v>선택 시나리오: 기본   (2H26~2032 명시, 이후 8년 체감 → 영구)</v>
      </c>
    </row>
    <row r="4" spans="1:6">
      <c r="A4" s="11" t="s">
        <v>413</v>
      </c>
    </row>
    <row r="5" spans="1:6">
      <c r="C5" s="10" t="s">
        <v>414</v>
      </c>
      <c r="D5" s="10" t="s">
        <v>415</v>
      </c>
      <c r="E5" s="10" t="s">
        <v>231</v>
      </c>
      <c r="F5" s="10" t="s">
        <v>416</v>
      </c>
    </row>
    <row r="6" spans="1:6">
      <c r="A6" s="7" t="s">
        <v>232</v>
      </c>
      <c r="C6" s="27">
        <f>Inputs!B98</f>
        <v>0.0</v>
      </c>
      <c r="D6" s="27">
        <f>IF(ISBLANK(Inputs!C98),"",Inputs!C98)</f>
        <v>200.0</v>
      </c>
      <c r="E6" s="28">
        <f>Inputs!D98</f>
        <v>0.11</v>
      </c>
      <c r="F6" s="29">
        <f>E6</f>
        <v>0.11</v>
      </c>
    </row>
    <row r="7" spans="1:6">
      <c r="A7" s="7" t="s">
        <v>234</v>
      </c>
      <c r="C7" s="27">
        <f>Inputs!B99</f>
        <v>200.0</v>
      </c>
      <c r="D7" s="27">
        <f>IF(ISBLANK(Inputs!C99),"",Inputs!C99)</f>
        <v>20000.0</v>
      </c>
      <c r="E7" s="28">
        <f>Inputs!D99</f>
        <v>0.22</v>
      </c>
      <c r="F7" s="29">
        <f>E7-N(E6)</f>
        <v>0.11</v>
      </c>
    </row>
    <row r="8" spans="1:6">
      <c r="A8" s="7" t="s">
        <v>236</v>
      </c>
      <c r="C8" s="27">
        <f>Inputs!B100</f>
        <v>20000.0</v>
      </c>
      <c r="D8" s="27">
        <f>IF(ISBLANK(Inputs!C100),"",Inputs!C100)</f>
        <v>300000.0</v>
      </c>
      <c r="E8" s="28">
        <f>Inputs!D100</f>
        <v>0.242</v>
      </c>
      <c r="F8" s="29">
        <f>E8-N(E7)</f>
        <v>0.021999999999999992</v>
      </c>
    </row>
    <row r="9" spans="1:6">
      <c r="A9" s="7" t="s">
        <v>237</v>
      </c>
      <c r="C9" s="27">
        <f>Inputs!B101</f>
        <v>300000.0</v>
      </c>
      <c r="D9" s="27">
        <f>IF(ISBLANK(Inputs!C101),"",Inputs!C101)</f>
        <v/>
      </c>
      <c r="E9" s="28">
        <f>Inputs!D101</f>
        <v>0.275</v>
      </c>
      <c r="F9" s="29">
        <f>E9-N(E8)</f>
        <v>0.03300000000000003</v>
      </c>
    </row>
    <row r="11" spans="1:6">
      <c r="A11" s="11" t="s">
        <v>417</v>
      </c>
    </row>
    <row r="12" spans="1:6">
      <c r="C12" s="10" t="s">
        <v>418</v>
      </c>
      <c r="D12" s="10" t="s">
        <v>419</v>
      </c>
      <c r="E12" s="10" t="s">
        <v>420</v>
      </c>
      <c r="F12" s="10" t="s">
        <v>421</v>
      </c>
    </row>
    <row r="13" spans="1:6">
      <c r="A13" s="7" t="s">
        <v>422</v>
      </c>
      <c r="C13" s="30">
        <f>(FS_Hist!$F$10)/(FS_Hist!$F$8)</f>
        <v>0.31979195987008774</v>
      </c>
      <c r="D13" s="30">
        <f>(FS_Hist!$G$10)/(FS_Hist!$G$8)</f>
        <v>0.014549550368848852</v>
      </c>
      <c r="E13" s="30">
        <f>(FS_Hist!$H$10)/(FS_Hist!$H$8)</f>
        <v>-0.48680058190132564</v>
      </c>
      <c r="F13" s="31">
        <f>AVERAGE(C13:E13)</f>
        <v>-0.05081969055412968</v>
      </c>
    </row>
    <row r="14" spans="1:6">
      <c r="A14" s="7" t="s">
        <v>423</v>
      </c>
      <c r="C14" s="30">
        <f>IF(ISNUMBER(FS_Hist!$F$16),(FS_Hist!$F$16)/(FS_Hist!$F$8),"n/a")</f>
        <v>0.02270999470254703</v>
      </c>
      <c r="D14" s="30">
        <f>IF(ISNUMBER(FS_Hist!$G$16),(FS_Hist!$G$16)/(FS_Hist!$G$8),"n/a")</f>
        <v>0.01816484651462249</v>
      </c>
      <c r="E14" s="30">
        <f>IF(ISNUMBER(FS_Hist!$H$16),(FS_Hist!$H$16)/(FS_Hist!$H$8),"n/a")</f>
        <v>0.03162237159076275</v>
      </c>
      <c r="F14" s="31">
        <f>AVERAGE(C14:E14)</f>
        <v>0.02416573760264409</v>
      </c>
    </row>
    <row r="15" spans="1:6">
      <c r="A15" s="7" t="s">
        <v>424</v>
      </c>
      <c r="C15" s="30">
        <f>(FS_Hist!$F$14+FS_Hist!$F$15)/(FS_Hist!$F$8)</f>
        <v>0.00041248101429087574</v>
      </c>
      <c r="D15" s="30">
        <f>(FS_Hist!$G$14+FS_Hist!$G$15)/(FS_Hist!$G$8)</f>
        <v>0.013538426202413705</v>
      </c>
      <c r="E15" s="30">
        <f>(FS_Hist!$H$14+FS_Hist!$H$15)/(FS_Hist!$H$8)</f>
        <v>0.025405627766352006</v>
      </c>
      <c r="F15" s="31">
        <f>AVERAGE(C15:E15)</f>
        <v>0.013118844994352195</v>
      </c>
    </row>
    <row r="16" spans="1:6">
      <c r="A16" s="7" t="s">
        <v>425</v>
      </c>
      <c r="C16" s="30">
        <f>(FS_Hist!$F$9)/(FS_Hist!$F$8)</f>
        <v>0.020531720744315047</v>
      </c>
      <c r="D16" s="30">
        <f>(FS_Hist!$G$9)/(FS_Hist!$G$8)</f>
        <v>0.017518503050749427</v>
      </c>
      <c r="E16" s="30">
        <f>(FS_Hist!$H$9)/(FS_Hist!$H$8)</f>
        <v>0.027078171075399157</v>
      </c>
      <c r="F16" s="31">
        <f>AVERAGE(C16:E16)</f>
        <v>0.021709464956821207</v>
      </c>
    </row>
    <row r="17" spans="1:7">
      <c r="A17" s="7" t="s">
        <v>426</v>
      </c>
      <c r="C17" s="32">
        <f>IF((FS_Hist!$F$8)=0,"n/a",(FS_Hist!$F$18)/(FS_Hist!$F$8)*DaysYr)</f>
        <v>213.63928388765007</v>
      </c>
      <c r="D17" s="32">
        <f>IF((FS_Hist!$G$8)=0,"n/a",(FS_Hist!$G$18)/(FS_Hist!$G$8)*DaysYr)</f>
        <v>90.8612354695394</v>
      </c>
      <c r="E17" s="32">
        <f>IF((FS_Hist!$H$8)=0,"n/a",(FS_Hist!$H$18)/(FS_Hist!$H$8)*DaysYr)</f>
        <v>56.52413431924968</v>
      </c>
      <c r="F17" s="33">
        <f>IF(COUNT(C17:E17)=0,0,AVERAGE(C17:E17))</f>
        <v>120.3415512254797</v>
      </c>
    </row>
    <row r="18" spans="1:7">
      <c r="A18" s="7" t="s">
        <v>427</v>
      </c>
      <c r="C18" s="32">
        <f>IF((FS_Hist!$F$9)=0,"n/a",(FS_Hist!$F$19)/(FS_Hist!$F$9)*DaysYr)</f>
        <v>3.6566367370150603</v>
      </c>
      <c r="D18" s="32">
        <f>IF((FS_Hist!$G$9)=0,"n/a",(FS_Hist!$G$19)/(FS_Hist!$G$9)*DaysYr)</f>
        <v>3.768102862147257</v>
      </c>
      <c r="E18" s="32">
        <f>IF((FS_Hist!$H$9)=0,"n/a",(FS_Hist!$H$19)/(FS_Hist!$H$9)*DaysYr)</f>
        <v>0.0</v>
      </c>
      <c r="F18" s="33">
        <f>IF(COUNT(C18:E18)=0,0,AVERAGE(C18:E18))</f>
        <v>2.4749131997207723</v>
      </c>
    </row>
    <row r="19" spans="1:7">
      <c r="A19" s="7" t="s">
        <v>428</v>
      </c>
      <c r="C19" s="32">
        <f>IF((FS_Hist!$F$9)=0,"n/a",(FS_Hist!$F$20)/(FS_Hist!$F$9)*DaysYr)</f>
        <v>9957.916326454713</v>
      </c>
      <c r="D19" s="32">
        <f>IF((FS_Hist!$G$9)=0,"n/a",(FS_Hist!$G$20)/(FS_Hist!$G$9)*DaysYr)</f>
        <v>3120.680908912232</v>
      </c>
      <c r="E19" s="32">
        <f>IF((FS_Hist!$H$9)=0,"n/a",(FS_Hist!$H$20)/(FS_Hist!$H$9)*DaysYr)</f>
        <v>1590.2874978824154</v>
      </c>
      <c r="F19" s="33">
        <f>IF(COUNT(C19:E19)=0,0,AVERAGE(C19:E19))</f>
        <v>4889.6282444164535</v>
      </c>
    </row>
    <row r="20" spans="1:7">
      <c r="A20" s="7" t="s">
        <v>429</v>
      </c>
      <c r="C20" s="27">
        <f>FS_Hist!$E$18+FS_Hist!$E$19-FS_Hist!$E$20+FS_Hist!$E$21+FS_Hist!$E$22+FS_Hist!$E$23</f>
        <v>3743.742772</v>
      </c>
      <c r="D20" s="27">
        <f>FS_Hist!$F$18+FS_Hist!$F$19-FS_Hist!$F$20+FS_Hist!$F$21+FS_Hist!$F$22+FS_Hist!$F$23</f>
        <v>308.75309899999985</v>
      </c>
      <c r="E20" s="27">
        <f>FS_Hist!$G$18+FS_Hist!$G$19-FS_Hist!$G$20+FS_Hist!$G$21+FS_Hist!$G$22+FS_Hist!$G$23</f>
        <v>813.9213449999999</v>
      </c>
    </row>
    <row r="21" spans="1:7">
      <c r="A21" s="7" t="s">
        <v>430</v>
      </c>
      <c r="C21" s="27">
        <f>FS_Hist!$F$10-IF(FS_Hist!$F$10&gt;0,SUMPRODUCT((FS_Hist!$F$10&gt;TaxFrom)*(FS_Hist!$F$10-TaxFrom)*TaxDRate),0)</f>
        <v>1155.86004472</v>
      </c>
      <c r="D21" s="27">
        <f>FS_Hist!$G$10-IF(FS_Hist!$G$10&gt;0,SUMPRODUCT((FS_Hist!$G$10&gt;TaxFrom)*(FS_Hist!$G$10-TaxFrom)*TaxDRate),0)</f>
        <v>66.94595041</v>
      </c>
      <c r="E21" s="27">
        <f>FS_Hist!$H$10-IF(FS_Hist!$H$10&gt;0,SUMPRODUCT((FS_Hist!$H$10&gt;TaxFrom)*(FS_Hist!$H$10-TaxFrom)*TaxDRate),0)</f>
        <v>-1794.823215</v>
      </c>
    </row>
    <row r="22" spans="1:7">
      <c r="A22" s="7" t="s">
        <v>431</v>
      </c>
      <c r="C22" s="31">
        <f>IF(C20&gt;0,C21/C20,"")</f>
        <v>0.30874451454433416</v>
      </c>
      <c r="D22" s="31">
        <f>IF(D20&gt;0,D21/D20,"")</f>
        <v>0.21682681283791755</v>
      </c>
      <c r="E22" s="31">
        <f>IF(E20&gt;0,E21/E20,"")</f>
        <v>-2.205155603825576</v>
      </c>
      <c r="F22" s="31">
        <f>AVERAGE(C22:E22)</f>
        <v>-0.5598614254811082</v>
      </c>
      <c r="G22" s="9" t="s">
        <v>432</v>
      </c>
    </row>
    <row r="24" spans="1:7">
      <c r="A24" s="7" t="s">
        <v>433</v>
      </c>
      <c r="B24" s="9" t="s">
        <v>16</v>
      </c>
      <c r="C24" s="30">
        <f>(FS_Hist!$H$8/FS_Hist!$C$8)^(1/(2025-2020))-1</f>
        <v>0.008119484164499813</v>
      </c>
    </row>
    <row r="25" spans="1:7">
      <c r="A25" s="7" t="s">
        <v>434</v>
      </c>
      <c r="B25" s="9" t="s">
        <v>132</v>
      </c>
      <c r="C25" s="27">
        <f>FS_Hist!$J$18+FS_Hist!$J$19-FS_Hist!$J$20</f>
        <v>304.03031599999997</v>
      </c>
      <c r="D25" s="9" t="s">
        <v>435</v>
      </c>
    </row>
    <row r="26" spans="1:7">
      <c r="A26" s="7" t="s">
        <v>436</v>
      </c>
      <c r="B26" s="9" t="s">
        <v>132</v>
      </c>
      <c r="C26" s="27">
        <f>FS_Hist!$J$8</f>
        <v>1699.452557</v>
      </c>
    </row>
    <row r="27" spans="1:7">
      <c r="A27" s="7" t="s">
        <v>437</v>
      </c>
      <c r="B27" s="9" t="s">
        <v>132</v>
      </c>
      <c r="C27" s="27">
        <f>FS_Hist!$J$10</f>
        <v>-259.272833</v>
      </c>
    </row>
    <row r="28" spans="1:7">
      <c r="A28" s="7" t="s">
        <v>438</v>
      </c>
      <c r="B28" s="9" t="s">
        <v>132</v>
      </c>
      <c r="C28" s="27">
        <f>FS_Hist!$H$8</f>
        <v>3686.978368</v>
      </c>
    </row>
    <row r="29" spans="1:7">
      <c r="A29" s="7" t="s">
        <v>439</v>
      </c>
      <c r="B29" s="9" t="s">
        <v>132</v>
      </c>
      <c r="C29" s="27">
        <f>FS_Hist!$H$11+FS_Hist!$J$11-FS_Hist!$I$11</f>
        <v>-4703.8600129999995</v>
      </c>
    </row>
    <row r="31" spans="1:7">
      <c r="A31" s="11" t="s">
        <v>440</v>
      </c>
    </row>
    <row r="32" spans="1:7">
      <c r="A32" s="7" t="s">
        <v>441</v>
      </c>
      <c r="C32" s="30">
        <f>IF(FS_Hist!$D$8&gt;0,FS_Hist!$D$10/FS_Hist!$D$8,"n/a")</f>
        <v>0.41361149811847403</v>
      </c>
      <c r="D32" s="30">
        <f>IF(FS_Hist!$E$8&gt;0,FS_Hist!$E$10/FS_Hist!$E$8,"n/a")</f>
        <v>-0.09810463318240459</v>
      </c>
      <c r="E32" s="30">
        <f>IF(FS_Hist!$F$8&gt;0,FS_Hist!$F$10/FS_Hist!$F$8,"n/a")</f>
        <v>0.31979195987008774</v>
      </c>
      <c r="F32" s="30">
        <f>IF(FS_Hist!$G$8&gt;0,FS_Hist!$G$10/FS_Hist!$G$8,"n/a")</f>
        <v>0.014549550368848852</v>
      </c>
      <c r="G32" s="30">
        <f>IF(FS_Hist!$H$8&gt;0,FS_Hist!$H$10/FS_Hist!$H$8,"n/a")</f>
        <v>-0.48680058190132564</v>
      </c>
    </row>
    <row r="33" spans="1:18">
      <c r="A33" s="7" t="s">
        <v>442</v>
      </c>
      <c r="B33" s="9" t="s">
        <v>16</v>
      </c>
      <c r="C33" s="31">
        <f>IF(COUNT(C32:G32)&gt;=3,MEDIAN(C32:G32),HistMargin)</f>
        <v>0.014549550368848852</v>
      </c>
    </row>
    <row r="34" spans="1:18">
      <c r="A34" s="7" t="s">
        <v>443</v>
      </c>
      <c r="B34" s="9" t="s">
        <v>16</v>
      </c>
      <c r="C34" s="30">
        <f>IF(ISNUMBER(PeerMarginV2),ConvShare*(PeerMarginV2-M0V2),0)</f>
        <v>0.054500895647489576</v>
      </c>
      <c r="D34" s="9" t="s">
        <v>444</v>
      </c>
    </row>
    <row r="35" spans="1:18">
      <c r="A35" s="7" t="s">
        <v>445</v>
      </c>
      <c r="B35" s="9" t="s">
        <v>16</v>
      </c>
      <c r="C35" s="30">
        <f>MAX(ClipLo,MIN(ClipHi,IF(ISNUMBER(PeerGrowthV2),WOwn*CAGR+(1-WOwn)*PeerGrowthV2,CAGR)))</f>
        <v>0.014420191600999407</v>
      </c>
    </row>
    <row r="37" spans="1:18">
      <c r="A37" s="11" t="s">
        <v>446</v>
      </c>
    </row>
    <row r="38" spans="1:18">
      <c r="A38" s="3" t="s">
        <v>448</v>
      </c>
      <c r="B38" s="34">
        <f>MATCH(ScenSel,ScenNames,0)</f>
        <v>2.0</v>
      </c>
      <c r="C38" s="10" t="s">
        <v>265</v>
      </c>
      <c r="D38" s="10" t="s">
        <v>11</v>
      </c>
      <c r="E38" s="10" t="s">
        <v>266</v>
      </c>
      <c r="F38" s="10" t="s">
        <v>447</v>
      </c>
    </row>
    <row r="39" spans="1:18">
      <c r="A39" s="7" t="s">
        <v>449</v>
      </c>
      <c r="C39" s="30">
        <f>Inputs!B120</f>
        <v>-0.02</v>
      </c>
      <c r="D39" s="30">
        <f>Inputs!C120</f>
        <v>0.0</v>
      </c>
      <c r="E39" s="30">
        <f>Inputs!D120</f>
        <v>0.02</v>
      </c>
      <c r="F39" s="30">
        <f>IF(ISNUMBER(GrowthShiftOvr),GrowthShiftOvr,INDEX(C39:E39,ScenIdx))</f>
        <v>0.0</v>
      </c>
    </row>
    <row r="40" spans="1:18">
      <c r="A40" s="7" t="s">
        <v>269</v>
      </c>
      <c r="C40" s="30">
        <f>Inputs!B121</f>
        <v>-0.02</v>
      </c>
      <c r="D40" s="30">
        <f>Inputs!C121</f>
        <v>0.0</v>
      </c>
      <c r="E40" s="30">
        <f>Inputs!D121</f>
        <v>0.02</v>
      </c>
      <c r="F40" s="30">
        <f>IF(ISNUMBER(MarginShiftOvr),MarginShiftOvr,INDEX(C40:E40,ScenIdx))</f>
        <v>0.0</v>
      </c>
    </row>
    <row r="41" spans="1:18">
      <c r="A41" s="7" t="s">
        <v>450</v>
      </c>
      <c r="C41" s="31">
        <f>G0Base+C39</f>
        <v>-0.005579808399000593</v>
      </c>
      <c r="D41" s="31">
        <f>G0Base+D39</f>
        <v>0.014420191600999407</v>
      </c>
      <c r="E41" s="31">
        <f>G0Base+E39</f>
        <v>0.034420191600999406</v>
      </c>
      <c r="F41" s="31">
        <f>G0Base+F39</f>
        <v>0.014420191600999407</v>
      </c>
    </row>
    <row r="42" spans="1:18">
      <c r="A42" s="7" t="s">
        <v>451</v>
      </c>
      <c r="C42" s="31">
        <f>M0V2+C40</f>
        <v>-0.005450449631151148</v>
      </c>
      <c r="D42" s="31">
        <f>M0V2+D40</f>
        <v>0.014549550368848852</v>
      </c>
      <c r="E42" s="31">
        <f>M0V2+E40</f>
        <v>0.03454955036884885</v>
      </c>
      <c r="F42" s="31">
        <f>M0V2+F40</f>
        <v>0.014549550368848852</v>
      </c>
    </row>
    <row r="43" spans="1:18">
      <c r="A43" s="7" t="s">
        <v>452</v>
      </c>
      <c r="C43" s="30">
        <f>C41+(GTermCfg-C41)*MIN(ExplicitEnd-YEAR(CfStart),FadeTo-YEAR(CfStart))/(FadeTo-YEAR(CfStart))</f>
        <v>0.019999999999999997</v>
      </c>
      <c r="D43" s="30">
        <f>D41+(GTermCfg-D41)*MIN(ExplicitEnd-YEAR(CfStart),FadeTo-YEAR(CfStart))/(FadeTo-YEAR(CfStart))</f>
        <v>0.02</v>
      </c>
      <c r="E43" s="30">
        <f>E41+(GTermCfg-E41)*MIN(ExplicitEnd-YEAR(CfStart),FadeTo-YEAR(CfStart))/(FadeTo-YEAR(CfStart))</f>
        <v>0.02</v>
      </c>
      <c r="F43" s="30">
        <f>F41+(GTermCfg-F41)*MIN(ExplicitEnd-YEAR(CfStart),FadeTo-YEAR(CfStart))/(FadeTo-YEAR(CfStart))</f>
        <v>0.02</v>
      </c>
    </row>
    <row r="44" spans="1:18">
      <c r="A44" s="7" t="s">
        <v>453</v>
      </c>
      <c r="B44" s="9" t="s">
        <v>16</v>
      </c>
      <c r="C44" s="30">
        <f>GTermCfg</f>
        <v>0.02</v>
      </c>
    </row>
    <row r="45" spans="1:18">
      <c r="A45" s="7" t="s">
        <v>454</v>
      </c>
      <c r="B45" s="9" t="s">
        <v>16</v>
      </c>
      <c r="C45" s="30">
        <f>IF(ISNUMBER(GOvr),GOvr,GTerm_Sel)</f>
        <v>0.02</v>
      </c>
      <c r="D45" s="9" t="s">
        <v>455</v>
      </c>
    </row>
    <row r="47" spans="1:18">
      <c r="A47" s="11" t="s">
        <v>456</v>
      </c>
      <c r="C47" s="10" t="s">
        <v>457</v>
      </c>
      <c r="D47" s="7" t="str">
        <f>IF(D48=1,"2H"&amp;RIGHT(D49,2),""&amp;D49)</f>
        <v>2H26</v>
      </c>
      <c r="E47" s="7" t="str">
        <f>IF(E48=1,"2H"&amp;RIGHT(E49,2),""&amp;E49)</f>
        <v>2027</v>
      </c>
      <c r="F47" s="7" t="str">
        <f>IF(F48=1,"2H"&amp;RIGHT(F49,2),""&amp;F49)</f>
        <v>2028</v>
      </c>
      <c r="G47" s="7" t="str">
        <f>IF(G48=1,"2H"&amp;RIGHT(G49,2),""&amp;G49)</f>
        <v>2029</v>
      </c>
      <c r="H47" s="7" t="str">
        <f>IF(H48=1,"2H"&amp;RIGHT(H49,2),""&amp;H49)</f>
        <v>2030</v>
      </c>
      <c r="I47" s="7" t="str">
        <f>IF(I48=1,"2H"&amp;RIGHT(I49,2),""&amp;I49)</f>
        <v>2031</v>
      </c>
      <c r="J47" s="7" t="str">
        <f>IF(J48=1,"2H"&amp;RIGHT(J49,2),""&amp;J49)</f>
        <v>2032</v>
      </c>
      <c r="K47" s="7" t="str">
        <f>IF(K48=1,"2H"&amp;RIGHT(K49,2),""&amp;K49)</f>
        <v>2033</v>
      </c>
      <c r="L47" s="7" t="str">
        <f>IF(L48=1,"2H"&amp;RIGHT(L49,2),""&amp;L49)</f>
        <v>2034</v>
      </c>
      <c r="M47" s="7" t="str">
        <f>IF(M48=1,"2H"&amp;RIGHT(M49,2),""&amp;M49)</f>
        <v>2035</v>
      </c>
      <c r="N47" s="7" t="str">
        <f>IF(N48=1,"2H"&amp;RIGHT(N49,2),""&amp;N49)</f>
        <v>2036</v>
      </c>
      <c r="O47" s="7" t="str">
        <f>IF(O48=1,"2H"&amp;RIGHT(O49,2),""&amp;O49)</f>
        <v>2037</v>
      </c>
      <c r="P47" s="7" t="str">
        <f>IF(P48=1,"2H"&amp;RIGHT(P49,2),""&amp;P49)</f>
        <v>2038</v>
      </c>
      <c r="Q47" s="7" t="str">
        <f>IF(Q48=1,"2H"&amp;RIGHT(Q49,2),""&amp;Q49)</f>
        <v>2039</v>
      </c>
      <c r="R47" s="7" t="str">
        <f>IF(R48=1,"2H"&amp;RIGHT(R49,2),""&amp;R49)</f>
        <v>2040</v>
      </c>
    </row>
    <row r="48" spans="1:18">
      <c r="A48" s="7" t="s">
        <v>458</v>
      </c>
      <c r="C48" s="35">
        <v>0</v>
      </c>
      <c r="D48" s="35">
        <f>C48+1</f>
        <v>1.0</v>
      </c>
      <c r="E48" s="35">
        <f>D48+1</f>
        <v>2.0</v>
      </c>
      <c r="F48" s="35">
        <f>E48+1</f>
        <v>3.0</v>
      </c>
      <c r="G48" s="35">
        <f>F48+1</f>
        <v>4.0</v>
      </c>
      <c r="H48" s="35">
        <f>G48+1</f>
        <v>5.0</v>
      </c>
      <c r="I48" s="35">
        <f>H48+1</f>
        <v>6.0</v>
      </c>
      <c r="J48" s="35">
        <f>I48+1</f>
        <v>7.0</v>
      </c>
      <c r="K48" s="35">
        <f>J48+1</f>
        <v>8.0</v>
      </c>
      <c r="L48" s="35">
        <f>K48+1</f>
        <v>9.0</v>
      </c>
      <c r="M48" s="35">
        <f>L48+1</f>
        <v>10.0</v>
      </c>
      <c r="N48" s="35">
        <f>M48+1</f>
        <v>11.0</v>
      </c>
      <c r="O48" s="35">
        <f>N48+1</f>
        <v>12.0</v>
      </c>
      <c r="P48" s="35">
        <f>O48+1</f>
        <v>13.0</v>
      </c>
      <c r="Q48" s="35">
        <f>P48+1</f>
        <v>14.0</v>
      </c>
      <c r="R48" s="35">
        <f>Q48+1</f>
        <v>15.0</v>
      </c>
    </row>
    <row r="49" spans="1:18">
      <c r="A49" s="7" t="s">
        <v>49</v>
      </c>
      <c r="D49" s="36">
        <f>YEAR(CfStart)+D48-1</f>
        <v>2026.0</v>
      </c>
      <c r="E49" s="36">
        <f>YEAR(CfStart)+E48-1</f>
        <v>2027.0</v>
      </c>
      <c r="F49" s="36">
        <f>YEAR(CfStart)+F48-1</f>
        <v>2028.0</v>
      </c>
      <c r="G49" s="36">
        <f>YEAR(CfStart)+G48-1</f>
        <v>2029.0</v>
      </c>
      <c r="H49" s="36">
        <f>YEAR(CfStart)+H48-1</f>
        <v>2030.0</v>
      </c>
      <c r="I49" s="36">
        <f>YEAR(CfStart)+I48-1</f>
        <v>2031.0</v>
      </c>
      <c r="J49" s="36">
        <f>YEAR(CfStart)+J48-1</f>
        <v>2032.0</v>
      </c>
      <c r="K49" s="36">
        <f>YEAR(CfStart)+K48-1</f>
        <v>2033.0</v>
      </c>
      <c r="L49" s="36">
        <f>YEAR(CfStart)+L48-1</f>
        <v>2034.0</v>
      </c>
      <c r="M49" s="36">
        <f>YEAR(CfStart)+M48-1</f>
        <v>2035.0</v>
      </c>
      <c r="N49" s="36">
        <f>YEAR(CfStart)+N48-1</f>
        <v>2036.0</v>
      </c>
      <c r="O49" s="36">
        <f>YEAR(CfStart)+O48-1</f>
        <v>2037.0</v>
      </c>
      <c r="P49" s="36">
        <f>YEAR(CfStart)+P48-1</f>
        <v>2038.0</v>
      </c>
      <c r="Q49" s="36">
        <f>YEAR(CfStart)+Q48-1</f>
        <v>2039.0</v>
      </c>
      <c r="R49" s="36">
        <f>YEAR(CfStart)+R48-1</f>
        <v>2040.0</v>
      </c>
    </row>
    <row r="50" spans="1:18">
      <c r="A50" s="7" t="s">
        <v>228</v>
      </c>
      <c r="D50" s="7" t="str">
        <f>IF(D54=1,"명시","체감")</f>
        <v>명시</v>
      </c>
      <c r="E50" s="7" t="str">
        <f>IF(E54=1,"명시","체감")</f>
        <v>명시</v>
      </c>
      <c r="F50" s="7" t="str">
        <f>IF(F54=1,"명시","체감")</f>
        <v>명시</v>
      </c>
      <c r="G50" s="7" t="str">
        <f>IF(G54=1,"명시","체감")</f>
        <v>명시</v>
      </c>
      <c r="H50" s="7" t="str">
        <f>IF(H54=1,"명시","체감")</f>
        <v>명시</v>
      </c>
      <c r="I50" s="7" t="str">
        <f>IF(I54=1,"명시","체감")</f>
        <v>명시</v>
      </c>
      <c r="J50" s="7" t="str">
        <f>IF(J54=1,"명시","체감")</f>
        <v>명시</v>
      </c>
      <c r="K50" s="7" t="str">
        <f>IF(K54=1,"명시","체감")</f>
        <v>체감</v>
      </c>
      <c r="L50" s="7" t="str">
        <f>IF(L54=1,"명시","체감")</f>
        <v>체감</v>
      </c>
      <c r="M50" s="7" t="str">
        <f>IF(M54=1,"명시","체감")</f>
        <v>체감</v>
      </c>
      <c r="N50" s="7" t="str">
        <f>IF(N54=1,"명시","체감")</f>
        <v>체감</v>
      </c>
      <c r="O50" s="7" t="str">
        <f>IF(O54=1,"명시","체감")</f>
        <v>체감</v>
      </c>
      <c r="P50" s="7" t="str">
        <f>IF(P54=1,"명시","체감")</f>
        <v>체감</v>
      </c>
      <c r="Q50" s="7" t="str">
        <f>IF(Q54=1,"명시","체감")</f>
        <v>체감</v>
      </c>
      <c r="R50" s="7" t="str">
        <f>IF(R54=1,"명시","체감")</f>
        <v>체감</v>
      </c>
    </row>
    <row r="51" spans="1:18">
      <c r="A51" s="7" t="s">
        <v>459</v>
      </c>
      <c r="D51" s="37">
        <f>MAX(DATE(D49,1,1),CfStart)</f>
        <v>46204.0</v>
      </c>
      <c r="E51" s="37">
        <f>MAX(DATE(E49,1,1),CfStart)</f>
        <v>46388.0</v>
      </c>
      <c r="F51" s="37">
        <f>MAX(DATE(F49,1,1),CfStart)</f>
        <v>46753.0</v>
      </c>
      <c r="G51" s="37">
        <f>MAX(DATE(G49,1,1),CfStart)</f>
        <v>47119.0</v>
      </c>
      <c r="H51" s="37">
        <f>MAX(DATE(H49,1,1),CfStart)</f>
        <v>47484.0</v>
      </c>
      <c r="I51" s="37">
        <f>MAX(DATE(I49,1,1),CfStart)</f>
        <v>47849.0</v>
      </c>
      <c r="J51" s="37">
        <f>MAX(DATE(J49,1,1),CfStart)</f>
        <v>48214.0</v>
      </c>
      <c r="K51" s="37">
        <f>MAX(DATE(K49,1,1),CfStart)</f>
        <v>48580.0</v>
      </c>
      <c r="L51" s="37">
        <f>MAX(DATE(L49,1,1),CfStart)</f>
        <v>48945.0</v>
      </c>
      <c r="M51" s="37">
        <f>MAX(DATE(M49,1,1),CfStart)</f>
        <v>49310.0</v>
      </c>
      <c r="N51" s="37">
        <f>MAX(DATE(N49,1,1),CfStart)</f>
        <v>49675.0</v>
      </c>
      <c r="O51" s="37">
        <f>MAX(DATE(O49,1,1),CfStart)</f>
        <v>50041.0</v>
      </c>
      <c r="P51" s="37">
        <f>MAX(DATE(P49,1,1),CfStart)</f>
        <v>50406.0</v>
      </c>
      <c r="Q51" s="37">
        <f>MAX(DATE(Q49,1,1),CfStart)</f>
        <v>50771.0</v>
      </c>
      <c r="R51" s="37">
        <f>MAX(DATE(R49,1,1),CfStart)</f>
        <v>51136.0</v>
      </c>
    </row>
    <row r="52" spans="1:18">
      <c r="A52" s="7" t="s">
        <v>460</v>
      </c>
      <c r="D52" s="38">
        <f>DATE(D49,12,31)</f>
        <v>46387.0</v>
      </c>
      <c r="E52" s="38">
        <f>DATE(E49,12,31)</f>
        <v>46752.0</v>
      </c>
      <c r="F52" s="38">
        <f>DATE(F49,12,31)</f>
        <v>47118.0</v>
      </c>
      <c r="G52" s="38">
        <f>DATE(G49,12,31)</f>
        <v>47483.0</v>
      </c>
      <c r="H52" s="38">
        <f>DATE(H49,12,31)</f>
        <v>47848.0</v>
      </c>
      <c r="I52" s="38">
        <f>DATE(I49,12,31)</f>
        <v>48213.0</v>
      </c>
      <c r="J52" s="38">
        <f>DATE(J49,12,31)</f>
        <v>48579.0</v>
      </c>
      <c r="K52" s="38">
        <f>DATE(K49,12,31)</f>
        <v>48944.0</v>
      </c>
      <c r="L52" s="38">
        <f>DATE(L49,12,31)</f>
        <v>49309.0</v>
      </c>
      <c r="M52" s="38">
        <f>DATE(M49,12,31)</f>
        <v>49674.0</v>
      </c>
      <c r="N52" s="38">
        <f>DATE(N49,12,31)</f>
        <v>50040.0</v>
      </c>
      <c r="O52" s="38">
        <f>DATE(O49,12,31)</f>
        <v>50405.0</v>
      </c>
      <c r="P52" s="38">
        <f>DATE(P49,12,31)</f>
        <v>50770.0</v>
      </c>
      <c r="Q52" s="38">
        <f>DATE(Q49,12,31)</f>
        <v>51135.0</v>
      </c>
      <c r="R52" s="38">
        <f>DATE(R49,12,31)</f>
        <v>51501.0</v>
      </c>
    </row>
    <row r="53" spans="1:18">
      <c r="A53" s="7" t="s">
        <v>461</v>
      </c>
      <c r="D53" s="39">
        <f>(D52-D51+1)/DaysYr</f>
        <v>0.5041095890410959</v>
      </c>
      <c r="E53" s="39">
        <f>(E52-E51+1)/DaysYr</f>
        <v>1.0</v>
      </c>
      <c r="F53" s="39">
        <f>(F52-F51+1)/DaysYr</f>
        <v>1.0027397260273974</v>
      </c>
      <c r="G53" s="39">
        <f>(G52-G51+1)/DaysYr</f>
        <v>1.0</v>
      </c>
      <c r="H53" s="39">
        <f>(H52-H51+1)/DaysYr</f>
        <v>1.0</v>
      </c>
      <c r="I53" s="39">
        <f>(I52-I51+1)/DaysYr</f>
        <v>1.0</v>
      </c>
      <c r="J53" s="39">
        <f>(J52-J51+1)/DaysYr</f>
        <v>1.0027397260273974</v>
      </c>
      <c r="K53" s="39">
        <f>(K52-K51+1)/DaysYr</f>
        <v>1.0</v>
      </c>
      <c r="L53" s="39">
        <f>(L52-L51+1)/DaysYr</f>
        <v>1.0</v>
      </c>
      <c r="M53" s="39">
        <f>(M52-M51+1)/DaysYr</f>
        <v>1.0</v>
      </c>
      <c r="N53" s="39">
        <f>(N52-N51+1)/DaysYr</f>
        <v>1.0027397260273974</v>
      </c>
      <c r="O53" s="39">
        <f>(O52-O51+1)/DaysYr</f>
        <v>1.0</v>
      </c>
      <c r="P53" s="39">
        <f>(P52-P51+1)/DaysYr</f>
        <v>1.0</v>
      </c>
      <c r="Q53" s="39">
        <f>(Q52-Q51+1)/DaysYr</f>
        <v>1.0</v>
      </c>
      <c r="R53" s="39">
        <f>(R52-R51+1)/DaysYr</f>
        <v>1.0027397260273974</v>
      </c>
    </row>
    <row r="54" spans="1:18">
      <c r="A54" s="7" t="s">
        <v>462</v>
      </c>
      <c r="D54" s="34">
        <f>IF(D49&lt;=ExplicitEnd,1,0)</f>
        <v>1.0</v>
      </c>
      <c r="E54" s="34">
        <f>IF(E49&lt;=ExplicitEnd,1,0)</f>
        <v>1.0</v>
      </c>
      <c r="F54" s="34">
        <f>IF(F49&lt;=ExplicitEnd,1,0)</f>
        <v>1.0</v>
      </c>
      <c r="G54" s="34">
        <f>IF(G49&lt;=ExplicitEnd,1,0)</f>
        <v>1.0</v>
      </c>
      <c r="H54" s="34">
        <f>IF(H49&lt;=ExplicitEnd,1,0)</f>
        <v>1.0</v>
      </c>
      <c r="I54" s="34">
        <f>IF(I49&lt;=ExplicitEnd,1,0)</f>
        <v>1.0</v>
      </c>
      <c r="J54" s="34">
        <f>IF(J49&lt;=ExplicitEnd,1,0)</f>
        <v>1.0</v>
      </c>
      <c r="K54" s="34">
        <f>IF(K49&lt;=ExplicitEnd,1,0)</f>
        <v>0.0</v>
      </c>
      <c r="L54" s="34">
        <f>IF(L49&lt;=ExplicitEnd,1,0)</f>
        <v>0.0</v>
      </c>
      <c r="M54" s="34">
        <f>IF(M49&lt;=ExplicitEnd,1,0)</f>
        <v>0.0</v>
      </c>
      <c r="N54" s="34">
        <f>IF(N49&lt;=ExplicitEnd,1,0)</f>
        <v>0.0</v>
      </c>
      <c r="O54" s="34">
        <f>IF(O49&lt;=ExplicitEnd,1,0)</f>
        <v>0.0</v>
      </c>
      <c r="P54" s="34">
        <f>IF(P49&lt;=ExplicitEnd,1,0)</f>
        <v>0.0</v>
      </c>
      <c r="Q54" s="34">
        <f>IF(Q49&lt;=ExplicitEnd,1,0)</f>
        <v>0.0</v>
      </c>
      <c r="R54" s="34">
        <f>IF(R49&lt;=ExplicitEnd,1,0)</f>
        <v>0.0</v>
      </c>
    </row>
    <row r="55" spans="1:18">
      <c r="A55" s="7" t="s">
        <v>463</v>
      </c>
      <c r="B55" s="9" t="s">
        <v>16</v>
      </c>
      <c r="D55" s="30">
        <f>IF(D54=1,G0_Sel+(GTermCfg-G0_Sel)*MIN(D49-YEAR(CfStart),FadeTo-YEAR(CfStart))/(FadeTo-YEAR(CfStart)),GLast_Sel-(D49-ExplicitEnd)*(GLast_Sel-GEff)/FadeYears)</f>
        <v>0.014420191600999407</v>
      </c>
      <c r="E55" s="30">
        <f>IF(E54=1,G0_Sel+(GTermCfg-G0_Sel)*MIN(E49-YEAR(CfStart),FadeTo-YEAR(CfStart))/(FadeTo-YEAR(CfStart)),GLast_Sel-(E49-ExplicitEnd)*(GLast_Sel-GEff)/FadeYears)</f>
        <v>0.015815143700749556</v>
      </c>
      <c r="F55" s="30">
        <f>IF(F54=1,G0_Sel+(GTermCfg-G0_Sel)*MIN(F49-YEAR(CfStart),FadeTo-YEAR(CfStart))/(FadeTo-YEAR(CfStart)),GLast_Sel-(F49-ExplicitEnd)*(GLast_Sel-GEff)/FadeYears)</f>
        <v>0.017210095800499703</v>
      </c>
      <c r="G55" s="30">
        <f>IF(G54=1,G0_Sel+(GTermCfg-G0_Sel)*MIN(G49-YEAR(CfStart),FadeTo-YEAR(CfStart))/(FadeTo-YEAR(CfStart)),GLast_Sel-(G49-ExplicitEnd)*(GLast_Sel-GEff)/FadeYears)</f>
        <v>0.018605047900249853</v>
      </c>
      <c r="H55" s="30">
        <f>IF(H54=1,G0_Sel+(GTermCfg-G0_Sel)*MIN(H49-YEAR(CfStart),FadeTo-YEAR(CfStart))/(FadeTo-YEAR(CfStart)),GLast_Sel-(H49-ExplicitEnd)*(GLast_Sel-GEff)/FadeYears)</f>
        <v>0.02</v>
      </c>
      <c r="I55" s="30">
        <f>IF(I54=1,G0_Sel+(GTermCfg-G0_Sel)*MIN(I49-YEAR(CfStart),FadeTo-YEAR(CfStart))/(FadeTo-YEAR(CfStart)),GLast_Sel-(I49-ExplicitEnd)*(GLast_Sel-GEff)/FadeYears)</f>
        <v>0.02</v>
      </c>
      <c r="J55" s="30">
        <f>IF(J54=1,G0_Sel+(GTermCfg-G0_Sel)*MIN(J49-YEAR(CfStart),FadeTo-YEAR(CfStart))/(FadeTo-YEAR(CfStart)),GLast_Sel-(J49-ExplicitEnd)*(GLast_Sel-GEff)/FadeYears)</f>
        <v>0.02</v>
      </c>
      <c r="K55" s="30">
        <f>IF(K54=1,G0_Sel+(GTermCfg-G0_Sel)*MIN(K49-YEAR(CfStart),FadeTo-YEAR(CfStart))/(FadeTo-YEAR(CfStart)),GLast_Sel-(K49-ExplicitEnd)*(GLast_Sel-GEff)/FadeYears)</f>
        <v>0.02</v>
      </c>
      <c r="L55" s="30">
        <f>IF(L54=1,G0_Sel+(GTermCfg-G0_Sel)*MIN(L49-YEAR(CfStart),FadeTo-YEAR(CfStart))/(FadeTo-YEAR(CfStart)),GLast_Sel-(L49-ExplicitEnd)*(GLast_Sel-GEff)/FadeYears)</f>
        <v>0.02</v>
      </c>
      <c r="M55" s="30">
        <f>IF(M54=1,G0_Sel+(GTermCfg-G0_Sel)*MIN(M49-YEAR(CfStart),FadeTo-YEAR(CfStart))/(FadeTo-YEAR(CfStart)),GLast_Sel-(M49-ExplicitEnd)*(GLast_Sel-GEff)/FadeYears)</f>
        <v>0.02</v>
      </c>
      <c r="N55" s="30">
        <f>IF(N54=1,G0_Sel+(GTermCfg-G0_Sel)*MIN(N49-YEAR(CfStart),FadeTo-YEAR(CfStart))/(FadeTo-YEAR(CfStart)),GLast_Sel-(N49-ExplicitEnd)*(GLast_Sel-GEff)/FadeYears)</f>
        <v>0.02</v>
      </c>
      <c r="O55" s="30">
        <f>IF(O54=1,G0_Sel+(GTermCfg-G0_Sel)*MIN(O49-YEAR(CfStart),FadeTo-YEAR(CfStart))/(FadeTo-YEAR(CfStart)),GLast_Sel-(O49-ExplicitEnd)*(GLast_Sel-GEff)/FadeYears)</f>
        <v>0.02</v>
      </c>
      <c r="P55" s="30">
        <f>IF(P54=1,G0_Sel+(GTermCfg-G0_Sel)*MIN(P49-YEAR(CfStart),FadeTo-YEAR(CfStart))/(FadeTo-YEAR(CfStart)),GLast_Sel-(P49-ExplicitEnd)*(GLast_Sel-GEff)/FadeYears)</f>
        <v>0.02</v>
      </c>
      <c r="Q55" s="30">
        <f>IF(Q54=1,G0_Sel+(GTermCfg-G0_Sel)*MIN(Q49-YEAR(CfStart),FadeTo-YEAR(CfStart))/(FadeTo-YEAR(CfStart)),GLast_Sel-(Q49-ExplicitEnd)*(GLast_Sel-GEff)/FadeYears)</f>
        <v>0.02</v>
      </c>
      <c r="R55" s="30">
        <f>IF(R54=1,G0_Sel+(GTermCfg-G0_Sel)*MIN(R49-YEAR(CfStart),FadeTo-YEAR(CfStart))/(FadeTo-YEAR(CfStart)),GLast_Sel-(R49-ExplicitEnd)*(GLast_Sel-GEff)/FadeYears)</f>
        <v>0.02</v>
      </c>
    </row>
    <row r="56" spans="1:18">
      <c r="A56" s="7" t="s">
        <v>464</v>
      </c>
      <c r="B56" s="9" t="s">
        <v>132</v>
      </c>
      <c r="D56" s="40">
        <f>IF(D48=1,RevFY_Last*(1+D55),C56*(1+D55))</f>
        <v>3740.1453024953003</v>
      </c>
      <c r="E56" s="40">
        <f>IF(E48=1,RevFY_Last*(1+E55),D56*(1+E55))</f>
        <v>3799.296237915947</v>
      </c>
      <c r="F56" s="40">
        <f>IF(F48=1,RevFY_Last*(1+F55),E56*(1+F55))</f>
        <v>3864.6824901449586</v>
      </c>
      <c r="G56" s="40">
        <f>IF(G48=1,RevFY_Last*(1+G55),F56*(1+G55))</f>
        <v>3936.585092993362</v>
      </c>
      <c r="H56" s="40">
        <f>IF(H48=1,RevFY_Last*(1+H55),G56*(1+H55))</f>
        <v>4015.3167948532296</v>
      </c>
      <c r="I56" s="40">
        <f>IF(I48=1,RevFY_Last*(1+I55),H56*(1+I55))</f>
        <v>4095.6231307502944</v>
      </c>
      <c r="J56" s="40">
        <f>IF(J48=1,RevFY_Last*(1+J55),I56*(1+J55))</f>
        <v>4177.5355933653</v>
      </c>
      <c r="K56" s="40">
        <f>IF(K48=1,RevFY_Last*(1+K55),J56*(1+K55))</f>
        <v>4261.086305232606</v>
      </c>
      <c r="L56" s="40">
        <f>IF(L48=1,RevFY_Last*(1+L55),K56*(1+L55))</f>
        <v>4346.308031337258</v>
      </c>
      <c r="M56" s="40">
        <f>IF(M48=1,RevFY_Last*(1+M55),L56*(1+M55))</f>
        <v>4433.234191964004</v>
      </c>
      <c r="N56" s="40">
        <f>IF(N48=1,RevFY_Last*(1+N55),M56*(1+N55))</f>
        <v>4521.898875803284</v>
      </c>
      <c r="O56" s="40">
        <f>IF(O48=1,RevFY_Last*(1+O55),N56*(1+O55))</f>
        <v>4612.33685331935</v>
      </c>
      <c r="P56" s="40">
        <f>IF(P48=1,RevFY_Last*(1+P55),O56*(1+P55))</f>
        <v>4704.583590385737</v>
      </c>
      <c r="Q56" s="40">
        <f>IF(Q48=1,RevFY_Last*(1+Q55),P56*(1+Q55))</f>
        <v>4798.675262193452</v>
      </c>
      <c r="R56" s="40">
        <f>IF(R48=1,RevFY_Last*(1+R55),Q56*(1+R55))</f>
        <v>4894.648767437321</v>
      </c>
    </row>
    <row r="57" spans="1:18">
      <c r="A57" s="7" t="s">
        <v>465</v>
      </c>
      <c r="B57" s="9" t="s">
        <v>132</v>
      </c>
      <c r="D57" s="40">
        <f>IF(D48=1,D56-H1Rev,D56)</f>
        <v>2040.6927454953002</v>
      </c>
      <c r="E57" s="40">
        <f>IF(E48=1,E56-H1Rev,E56)</f>
        <v>3799.296237915947</v>
      </c>
      <c r="F57" s="40">
        <f>IF(F48=1,F56-H1Rev,F56)</f>
        <v>3864.6824901449586</v>
      </c>
      <c r="G57" s="40">
        <f>IF(G48=1,G56-H1Rev,G56)</f>
        <v>3936.585092993362</v>
      </c>
      <c r="H57" s="40">
        <f>IF(H48=1,H56-H1Rev,H56)</f>
        <v>4015.3167948532296</v>
      </c>
      <c r="I57" s="40">
        <f>IF(I48=1,I56-H1Rev,I56)</f>
        <v>4095.6231307502944</v>
      </c>
      <c r="J57" s="40">
        <f>IF(J48=1,J56-H1Rev,J56)</f>
        <v>4177.5355933653</v>
      </c>
      <c r="K57" s="40">
        <f>IF(K48=1,K56-H1Rev,K56)</f>
        <v>4261.086305232606</v>
      </c>
      <c r="L57" s="40">
        <f>IF(L48=1,L56-H1Rev,L56)</f>
        <v>4346.308031337258</v>
      </c>
      <c r="M57" s="40">
        <f>IF(M48=1,M56-H1Rev,M56)</f>
        <v>4433.234191964004</v>
      </c>
      <c r="N57" s="40">
        <f>IF(N48=1,N56-H1Rev,N56)</f>
        <v>4521.898875803284</v>
      </c>
      <c r="O57" s="40">
        <f>IF(O48=1,O56-H1Rev,O56)</f>
        <v>4612.33685331935</v>
      </c>
      <c r="P57" s="40">
        <f>IF(P48=1,P56-H1Rev,P56)</f>
        <v>4704.583590385737</v>
      </c>
      <c r="Q57" s="40">
        <f>IF(Q48=1,Q56-H1Rev,Q56)</f>
        <v>4798.675262193452</v>
      </c>
      <c r="R57" s="40">
        <f>IF(R48=1,R56-H1Rev,R56)</f>
        <v>4894.648767437321</v>
      </c>
    </row>
    <row r="58" spans="1:18">
      <c r="A58" s="7" t="s">
        <v>466</v>
      </c>
      <c r="B58" s="9" t="s">
        <v>132</v>
      </c>
      <c r="D58" s="27">
        <f>D57*(Margin_Sel+MarginConvAmt*MIN((D49-YEAR(CfStart))/(ExplicitEnd-YEAR(CfStart)),1))</f>
        <v>29.69116188792832</v>
      </c>
      <c r="E58" s="27">
        <f>E57*(Margin_Sel+MarginConvAmt*MIN((E49-YEAR(CfStart))/(ExplicitEnd-YEAR(CfStart)),1))</f>
        <v>89.78889327916214</v>
      </c>
      <c r="F58" s="27">
        <f>F57*(Margin_Sel+MarginConvAmt*MIN((F49-YEAR(CfStart))/(ExplicitEnd-YEAR(CfStart)),1))</f>
        <v>126.43894491866246</v>
      </c>
      <c r="G58" s="27">
        <f>G57*(Margin_Sel+MarginConvAmt*MIN((G49-YEAR(CfStart))/(ExplicitEnd-YEAR(CfStart)),1))</f>
        <v>164.5492497721136</v>
      </c>
      <c r="H58" s="27">
        <f>H57*(Margin_Sel+MarginConvAmt*MIN((H49-YEAR(CfStart))/(ExplicitEnd-YEAR(CfStart)),1))</f>
        <v>204.31329503887392</v>
      </c>
      <c r="I58" s="27">
        <f>I57*(Margin_Sel+MarginConvAmt*MIN((I49-YEAR(CfStart))/(ExplicitEnd-YEAR(CfStart)),1))</f>
        <v>245.6020824163958</v>
      </c>
      <c r="J58" s="27">
        <f>J57*(Margin_Sel+MarginConvAmt*MIN((J49-YEAR(CfStart))/(ExplicitEnd-YEAR(CfStart)),1))</f>
        <v>288.46069597100296</v>
      </c>
      <c r="K58" s="27">
        <f>K57*(Margin_Sel+MarginConvAmt*MIN((K49-YEAR(CfStart))/(ExplicitEnd-YEAR(CfStart)),1))</f>
        <v>294.229909890423</v>
      </c>
      <c r="L58" s="27">
        <f>L57*(Margin_Sel+MarginConvAmt*MIN((L49-YEAR(CfStart))/(ExplicitEnd-YEAR(CfStart)),1))</f>
        <v>300.1145080882315</v>
      </c>
      <c r="M58" s="27">
        <f>M57*(Margin_Sel+MarginConvAmt*MIN((M49-YEAR(CfStart))/(ExplicitEnd-YEAR(CfStart)),1))</f>
        <v>306.1167982499962</v>
      </c>
      <c r="N58" s="27">
        <f>N57*(Margin_Sel+MarginConvAmt*MIN((N49-YEAR(CfStart))/(ExplicitEnd-YEAR(CfStart)),1))</f>
        <v>312.2391342149961</v>
      </c>
      <c r="O58" s="27">
        <f>O57*(Margin_Sel+MarginConvAmt*MIN((O49-YEAR(CfStart))/(ExplicitEnd-YEAR(CfStart)),1))</f>
        <v>318.48391689929605</v>
      </c>
      <c r="P58" s="27">
        <f>P57*(Margin_Sel+MarginConvAmt*MIN((P49-YEAR(CfStart))/(ExplicitEnd-YEAR(CfStart)),1))</f>
        <v>324.853595237282</v>
      </c>
      <c r="Q58" s="27">
        <f>Q57*(Margin_Sel+MarginConvAmt*MIN((Q49-YEAR(CfStart))/(ExplicitEnd-YEAR(CfStart)),1))</f>
        <v>331.35066714202765</v>
      </c>
      <c r="R58" s="27">
        <f>R57*(Margin_Sel+MarginConvAmt*MIN((R49-YEAR(CfStart))/(ExplicitEnd-YEAR(CfStart)),1))</f>
        <v>337.9776804848682</v>
      </c>
    </row>
    <row r="59" spans="1:18">
      <c r="A59" s="7" t="s">
        <v>467</v>
      </c>
      <c r="B59" s="9" t="s">
        <v>132</v>
      </c>
      <c r="D59" s="40">
        <f>IF(D48=1,H1Op+D58,D58)</f>
        <v>-229.58167111207166</v>
      </c>
      <c r="E59" s="40">
        <f>IF(E48=1,H1Op+E58,E58)</f>
        <v>89.78889327916214</v>
      </c>
      <c r="F59" s="40">
        <f>IF(F48=1,H1Op+F58,F58)</f>
        <v>126.43894491866246</v>
      </c>
      <c r="G59" s="40">
        <f>IF(G48=1,H1Op+G58,G58)</f>
        <v>164.5492497721136</v>
      </c>
      <c r="H59" s="40">
        <f>IF(H48=1,H1Op+H58,H58)</f>
        <v>204.31329503887392</v>
      </c>
      <c r="I59" s="40">
        <f>IF(I48=1,H1Op+I58,I58)</f>
        <v>245.6020824163958</v>
      </c>
      <c r="J59" s="40">
        <f>IF(J48=1,H1Op+J58,J58)</f>
        <v>288.46069597100296</v>
      </c>
      <c r="K59" s="40">
        <f>IF(K48=1,H1Op+K58,K58)</f>
        <v>294.229909890423</v>
      </c>
      <c r="L59" s="40">
        <f>IF(L48=1,H1Op+L58,L58)</f>
        <v>300.1145080882315</v>
      </c>
      <c r="M59" s="40">
        <f>IF(M48=1,H1Op+M58,M58)</f>
        <v>306.1167982499962</v>
      </c>
      <c r="N59" s="40">
        <f>IF(N48=1,H1Op+N58,N58)</f>
        <v>312.2391342149961</v>
      </c>
      <c r="O59" s="40">
        <f>IF(O48=1,H1Op+O58,O58)</f>
        <v>318.48391689929605</v>
      </c>
      <c r="P59" s="40">
        <f>IF(P48=1,H1Op+P58,P58)</f>
        <v>324.853595237282</v>
      </c>
      <c r="Q59" s="40">
        <f>IF(Q48=1,H1Op+Q58,Q58)</f>
        <v>331.35066714202765</v>
      </c>
      <c r="R59" s="40">
        <f>IF(R48=1,H1Op+R58,R58)</f>
        <v>337.9776804848682</v>
      </c>
    </row>
    <row r="60" spans="1:18">
      <c r="A60" s="7" t="s">
        <v>468</v>
      </c>
      <c r="B60" s="9" t="s">
        <v>132</v>
      </c>
      <c r="D60" s="40">
        <f>IF(D54=1,D57*DnaRatio,0)</f>
        <v>49.31484541525878</v>
      </c>
      <c r="E60" s="40">
        <f>IF(E54=1,E57*DnaRatio,0)</f>
        <v>91.81279596018963</v>
      </c>
      <c r="F60" s="40">
        <f>IF(F54=1,F57*DnaRatio,0)</f>
        <v>93.39290297437623</v>
      </c>
      <c r="G60" s="40">
        <f>IF(G54=1,G57*DnaRatio,0)</f>
        <v>95.13048240775788</v>
      </c>
      <c r="H60" s="40">
        <f>IF(H54=1,H57*DnaRatio,0)</f>
        <v>97.03309205591303</v>
      </c>
      <c r="I60" s="40">
        <f>IF(I54=1,I57*DnaRatio,0)</f>
        <v>98.9737538970313</v>
      </c>
      <c r="J60" s="40">
        <f>IF(J54=1,J57*DnaRatio,0)</f>
        <v>100.95322897497192</v>
      </c>
      <c r="K60" s="40">
        <f>IF(K54=1,K57*DnaRatio,0)</f>
        <v>0.0</v>
      </c>
      <c r="L60" s="40">
        <f>IF(L54=1,L57*DnaRatio,0)</f>
        <v>0.0</v>
      </c>
      <c r="M60" s="40">
        <f>IF(M54=1,M57*DnaRatio,0)</f>
        <v>0.0</v>
      </c>
      <c r="N60" s="40">
        <f>IF(N54=1,N57*DnaRatio,0)</f>
        <v>0.0</v>
      </c>
      <c r="O60" s="40">
        <f>IF(O54=1,O57*DnaRatio,0)</f>
        <v>0.0</v>
      </c>
      <c r="P60" s="40">
        <f>IF(P54=1,P57*DnaRatio,0)</f>
        <v>0.0</v>
      </c>
      <c r="Q60" s="40">
        <f>IF(Q54=1,Q57*DnaRatio,0)</f>
        <v>0.0</v>
      </c>
      <c r="R60" s="40">
        <f>IF(R54=1,R57*DnaRatio,0)</f>
        <v>0.0</v>
      </c>
    </row>
    <row r="61" spans="1:18">
      <c r="A61" s="7" t="s">
        <v>469</v>
      </c>
      <c r="B61" s="9" t="s">
        <v>132</v>
      </c>
      <c r="D61" s="40">
        <f>IF(D54=1,D57*CapexRatio,0)</f>
        <v>26.771531809251858</v>
      </c>
      <c r="E61" s="40">
        <f>IF(E54=1,E57*CapexRatio,0)</f>
        <v>49.842378432844754</v>
      </c>
      <c r="F61" s="40">
        <f>IF(F54=1,F57*CapexRatio,0)</f>
        <v>50.70017054059877</v>
      </c>
      <c r="G61" s="40">
        <f>IF(G54=1,G57*CapexRatio,0)</f>
        <v>51.64344964205744</v>
      </c>
      <c r="H61" s="40">
        <f>IF(H54=1,H57*CapexRatio,0)</f>
        <v>52.67631863489859</v>
      </c>
      <c r="I61" s="40">
        <f>IF(I54=1,I57*CapexRatio,0)</f>
        <v>53.729845007596566</v>
      </c>
      <c r="J61" s="40">
        <f>IF(J54=1,J57*CapexRatio,0)</f>
        <v>54.80444190774849</v>
      </c>
      <c r="K61" s="40">
        <f>IF(K54=1,K57*CapexRatio,0)</f>
        <v>0.0</v>
      </c>
      <c r="L61" s="40">
        <f>IF(L54=1,L57*CapexRatio,0)</f>
        <v>0.0</v>
      </c>
      <c r="M61" s="40">
        <f>IF(M54=1,M57*CapexRatio,0)</f>
        <v>0.0</v>
      </c>
      <c r="N61" s="40">
        <f>IF(N54=1,N57*CapexRatio,0)</f>
        <v>0.0</v>
      </c>
      <c r="O61" s="40">
        <f>IF(O54=1,O57*CapexRatio,0)</f>
        <v>0.0</v>
      </c>
      <c r="P61" s="40">
        <f>IF(P54=1,P57*CapexRatio,0)</f>
        <v>0.0</v>
      </c>
      <c r="Q61" s="40">
        <f>IF(Q54=1,Q57*CapexRatio,0)</f>
        <v>0.0</v>
      </c>
      <c r="R61" s="40">
        <f>IF(R54=1,R57*CapexRatio,0)</f>
        <v>0.0</v>
      </c>
    </row>
    <row r="62" spans="1:18">
      <c r="A62" s="7" t="s">
        <v>470</v>
      </c>
      <c r="B62" s="9" t="s">
        <v>132</v>
      </c>
      <c r="C62" s="40">
        <f>NWC_Open</f>
        <v>304.03031599999997</v>
      </c>
      <c r="D62" s="27">
        <f>IF(D54=1,D56*DSO/DaysYr+D56*COGSR*DIO/DaysYr-D56*COGSR*DPO/DaysYr,C62)</f>
        <v>145.95857859356965</v>
      </c>
      <c r="E62" s="27">
        <f>IF(E54=1,E56*DSO/DaysYr+E56*COGSR*DIO/DaysYr-E56*COGSR*DPO/DaysYr,D62)</f>
        <v>148.26693448838432</v>
      </c>
      <c r="F62" s="27">
        <f>IF(F54=1,F56*DSO/DaysYr+F56*COGSR*DIO/DaysYr-F56*COGSR*DPO/DaysYr,E62)</f>
        <v>150.81862263497578</v>
      </c>
      <c r="G62" s="27">
        <f>IF(G54=1,G56*DSO/DaysYr+G56*COGSR*DIO/DaysYr-G56*COGSR*DPO/DaysYr,F62)</f>
        <v>153.6246103333492</v>
      </c>
      <c r="H62" s="27">
        <f>IF(H54=1,H56*DSO/DaysYr+H56*COGSR*DIO/DaysYr-H56*COGSR*DPO/DaysYr,G62)</f>
        <v>156.69710254001643</v>
      </c>
      <c r="I62" s="27">
        <f>IF(I54=1,I56*DSO/DaysYr+I56*COGSR*DIO/DaysYr-I56*COGSR*DPO/DaysYr,H62)</f>
        <v>159.83104459081665</v>
      </c>
      <c r="J62" s="27">
        <f>IF(J54=1,J56*DSO/DaysYr+J56*COGSR*DIO/DaysYr-J56*COGSR*DPO/DaysYr,I62)</f>
        <v>163.02766548263298</v>
      </c>
      <c r="K62" s="27">
        <f>IF(K54=1,K56*DSO/DaysYr+K56*COGSR*DIO/DaysYr-K56*COGSR*DPO/DaysYr,J62)</f>
        <v>163.02766548263298</v>
      </c>
      <c r="L62" s="27">
        <f>IF(L54=1,L56*DSO/DaysYr+L56*COGSR*DIO/DaysYr-L56*COGSR*DPO/DaysYr,K62)</f>
        <v>163.02766548263298</v>
      </c>
      <c r="M62" s="27">
        <f>IF(M54=1,M56*DSO/DaysYr+M56*COGSR*DIO/DaysYr-M56*COGSR*DPO/DaysYr,L62)</f>
        <v>163.02766548263298</v>
      </c>
      <c r="N62" s="27">
        <f>IF(N54=1,N56*DSO/DaysYr+N56*COGSR*DIO/DaysYr-N56*COGSR*DPO/DaysYr,M62)</f>
        <v>163.02766548263298</v>
      </c>
      <c r="O62" s="27">
        <f>IF(O54=1,O56*DSO/DaysYr+O56*COGSR*DIO/DaysYr-O56*COGSR*DPO/DaysYr,N62)</f>
        <v>163.02766548263298</v>
      </c>
      <c r="P62" s="27">
        <f>IF(P54=1,P56*DSO/DaysYr+P56*COGSR*DIO/DaysYr-P56*COGSR*DPO/DaysYr,O62)</f>
        <v>163.02766548263298</v>
      </c>
      <c r="Q62" s="27">
        <f>IF(Q54=1,Q56*DSO/DaysYr+Q56*COGSR*DIO/DaysYr-Q56*COGSR*DPO/DaysYr,P62)</f>
        <v>163.02766548263298</v>
      </c>
      <c r="R62" s="27">
        <f>IF(R54=1,R56*DSO/DaysYr+R56*COGSR*DIO/DaysYr-R56*COGSR*DPO/DaysYr,Q62)</f>
        <v>163.02766548263298</v>
      </c>
    </row>
    <row r="63" spans="1:18">
      <c r="A63" s="7" t="s">
        <v>471</v>
      </c>
      <c r="B63" s="9" t="s">
        <v>132</v>
      </c>
      <c r="D63" s="40">
        <f>IF(D54=1,D62-C62,0)</f>
        <v>-158.07173740643032</v>
      </c>
      <c r="E63" s="40">
        <f>IF(E54=1,E62-D62,0)</f>
        <v>2.3083558948146674</v>
      </c>
      <c r="F63" s="40">
        <f>IF(F54=1,F62-E62,0)</f>
        <v>2.5516881465914594</v>
      </c>
      <c r="G63" s="40">
        <f>IF(G54=1,G62-F62,0)</f>
        <v>2.8059876983734284</v>
      </c>
      <c r="H63" s="40">
        <f>IF(H54=1,H62-G62,0)</f>
        <v>3.0724922066672207</v>
      </c>
      <c r="I63" s="40">
        <f>IF(I54=1,I62-H62,0)</f>
        <v>3.133942050800215</v>
      </c>
      <c r="J63" s="40">
        <f>IF(J54=1,J62-I62,0)</f>
        <v>3.1966208918163375</v>
      </c>
      <c r="K63" s="40">
        <f>IF(K54=1,K62-J62,0)</f>
        <v>0.0</v>
      </c>
      <c r="L63" s="40">
        <f>IF(L54=1,L62-K62,0)</f>
        <v>0.0</v>
      </c>
      <c r="M63" s="40">
        <f>IF(M54=1,M62-L62,0)</f>
        <v>0.0</v>
      </c>
      <c r="N63" s="40">
        <f>IF(N54=1,N62-M62,0)</f>
        <v>0.0</v>
      </c>
      <c r="O63" s="40">
        <f>IF(O54=1,O62-N62,0)</f>
        <v>0.0</v>
      </c>
      <c r="P63" s="40">
        <f>IF(P54=1,P62-O62,0)</f>
        <v>0.0</v>
      </c>
      <c r="Q63" s="40">
        <f>IF(Q54=1,Q62-P62,0)</f>
        <v>0.0</v>
      </c>
      <c r="R63" s="40">
        <f>IF(R54=1,R62-Q62,0)</f>
        <v>0.0</v>
      </c>
    </row>
    <row r="64" spans="1:18">
      <c r="A64" s="7" t="s">
        <v>472</v>
      </c>
      <c r="B64" s="9" t="s">
        <v>16</v>
      </c>
      <c r="D64" s="30">
        <f>IF(D59&gt;0,IF(D59&gt;0,SUMPRODUCT((D59&gt;TaxFrom)*(D59-TaxFrom)*TaxDRate),0)/D59,0)</f>
        <v>0.0</v>
      </c>
      <c r="E64" s="30">
        <f>IF(E59&gt;0,IF(E59&gt;0,SUMPRODUCT((E59&gt;TaxFrom)*(E59-TaxFrom)*TaxDRate),0)/E59,0)</f>
        <v>0.11</v>
      </c>
      <c r="F64" s="30">
        <f>IF(F59&gt;0,IF(F59&gt;0,SUMPRODUCT((F59&gt;TaxFrom)*(F59-TaxFrom)*TaxDRate),0)/F59,0)</f>
        <v>0.11</v>
      </c>
      <c r="G64" s="30">
        <f>IF(G59&gt;0,IF(G59&gt;0,SUMPRODUCT((G59&gt;TaxFrom)*(G59-TaxFrom)*TaxDRate),0)/G59,0)</f>
        <v>0.11</v>
      </c>
      <c r="H64" s="30">
        <f>IF(H59&gt;0,IF(H59&gt;0,SUMPRODUCT((H59&gt;TaxFrom)*(H59-TaxFrom)*TaxDRate),0)/H59,0)</f>
        <v>0.11232222995662548</v>
      </c>
      <c r="I64" s="30">
        <f>IF(I59&gt;0,IF(I59&gt;0,SUMPRODUCT((I59&gt;TaxFrom)*(I59-TaxFrom)*TaxDRate),0)/I59,0)</f>
        <v>0.1304242122723495</v>
      </c>
      <c r="J64" s="30">
        <f>IF(J59&gt;0,IF(J59&gt;0,SUMPRODUCT((J59&gt;TaxFrom)*(J59-TaxFrom)*TaxDRate),0)/J59,0)</f>
        <v>0.143733110585674</v>
      </c>
      <c r="K64" s="30">
        <f>IF(K59&gt;0,IF(K59&gt;0,SUMPRODUCT((K59&gt;TaxFrom)*(K59-TaxFrom)*TaxDRate),0)/K59,0)</f>
        <v>0.14522853978987646</v>
      </c>
      <c r="L64" s="30">
        <f>IF(L59&gt;0,IF(L59&gt;0,SUMPRODUCT((L59&gt;TaxFrom)*(L59-TaxFrom)*TaxDRate),0)/L59,0)</f>
        <v>0.14669464685282008</v>
      </c>
      <c r="M64" s="30">
        <f>IF(M59&gt;0,IF(M59&gt;0,SUMPRODUCT((M59&gt;TaxFrom)*(M59-TaxFrom)*TaxDRate),0)/M59,0)</f>
        <v>0.14813200671845106</v>
      </c>
      <c r="N64" s="30">
        <f>IF(N59&gt;0,IF(N59&gt;0,SUMPRODUCT((N59&gt;TaxFrom)*(N59-TaxFrom)*TaxDRate),0)/N59,0)</f>
        <v>0.14954118305730493</v>
      </c>
      <c r="O64" s="30">
        <f>IF(O59&gt;0,IF(O59&gt;0,SUMPRODUCT((O59&gt;TaxFrom)*(O59-TaxFrom)*TaxDRate),0)/O59,0)</f>
        <v>0.15092272848755386</v>
      </c>
      <c r="P64" s="30">
        <f>IF(P59&gt;0,IF(P59&gt;0,SUMPRODUCT((P59&gt;TaxFrom)*(P59-TaxFrom)*TaxDRate),0)/P59,0)</f>
        <v>0.1522771847917195</v>
      </c>
      <c r="Q64" s="30">
        <f>IF(Q59&gt;0,IF(Q59&gt;0,SUMPRODUCT((Q59&gt;TaxFrom)*(Q59-TaxFrom)*TaxDRate),0)/Q59,0)</f>
        <v>0.15360508312913676</v>
      </c>
      <c r="R64" s="30">
        <f>IF(R59&gt;0,IF(R59&gt;0,SUMPRODUCT((R59&gt;TaxFrom)*(R59-TaxFrom)*TaxDRate),0)/R59,0)</f>
        <v>0.15490694424425172</v>
      </c>
    </row>
    <row r="65" spans="1:18">
      <c r="A65" s="7" t="s">
        <v>473</v>
      </c>
      <c r="B65" s="9" t="s">
        <v>132</v>
      </c>
      <c r="D65" s="40">
        <f>MAX(D58,0)*D64</f>
        <v>0.0</v>
      </c>
      <c r="E65" s="40">
        <f>MAX(E58,0)*E64</f>
        <v>9.876778260707836</v>
      </c>
      <c r="F65" s="40">
        <f>MAX(F58,0)*F64</f>
        <v>13.90828394105287</v>
      </c>
      <c r="G65" s="40">
        <f>MAX(G58,0)*G64</f>
        <v>18.100417474932495</v>
      </c>
      <c r="H65" s="40">
        <f>MAX(H58,0)*H64</f>
        <v>22.948924908552264</v>
      </c>
      <c r="I65" s="40">
        <f>MAX(I58,0)*I64</f>
        <v>32.03245813160708</v>
      </c>
      <c r="J65" s="40">
        <f>MAX(J58,0)*J64</f>
        <v>41.46135311362066</v>
      </c>
      <c r="K65" s="40">
        <f>MAX(K58,0)*K64</f>
        <v>42.73058017589307</v>
      </c>
      <c r="L65" s="40">
        <f>MAX(L58,0)*L64</f>
        <v>44.02519177941093</v>
      </c>
      <c r="M65" s="40">
        <f>MAX(M58,0)*M64</f>
        <v>45.34569561499916</v>
      </c>
      <c r="N65" s="40">
        <f>MAX(N58,0)*N64</f>
        <v>46.69260952729914</v>
      </c>
      <c r="O65" s="40">
        <f>MAX(O58,0)*O64</f>
        <v>48.06646171784512</v>
      </c>
      <c r="P65" s="40">
        <f>MAX(P58,0)*P64</f>
        <v>49.46779095220204</v>
      </c>
      <c r="Q65" s="40">
        <f>MAX(Q58,0)*Q64</f>
        <v>50.89714677124608</v>
      </c>
      <c r="R65" s="40">
        <f>MAX(R58,0)*R64</f>
        <v>52.355089706671</v>
      </c>
    </row>
    <row r="66" spans="1:18">
      <c r="A66" s="7" t="s">
        <v>474</v>
      </c>
      <c r="B66" s="9" t="s">
        <v>132</v>
      </c>
      <c r="D66" s="40">
        <f>D58-D65</f>
        <v>29.69116188792832</v>
      </c>
      <c r="E66" s="40">
        <f>E58-E65</f>
        <v>79.9121150184543</v>
      </c>
      <c r="F66" s="40">
        <f>F58-F65</f>
        <v>112.53066097760959</v>
      </c>
      <c r="G66" s="40">
        <f>G58-G65</f>
        <v>146.4488322971811</v>
      </c>
      <c r="H66" s="40">
        <f>H58-H65</f>
        <v>181.36437013032165</v>
      </c>
      <c r="I66" s="40">
        <f>I58-I65</f>
        <v>213.56962428478872</v>
      </c>
      <c r="J66" s="40">
        <f>J58-J65</f>
        <v>246.99934285738232</v>
      </c>
      <c r="K66" s="40">
        <f>K58-K65</f>
        <v>251.49932971452995</v>
      </c>
      <c r="L66" s="40">
        <f>L58-L65</f>
        <v>256.08931630882057</v>
      </c>
      <c r="M66" s="40">
        <f>M58-M65</f>
        <v>260.771102634997</v>
      </c>
      <c r="N66" s="40">
        <f>N58-N65</f>
        <v>265.546524687697</v>
      </c>
      <c r="O66" s="40">
        <f>O58-O65</f>
        <v>270.4174551814509</v>
      </c>
      <c r="P66" s="40">
        <f>P58-P65</f>
        <v>275.3858042850799</v>
      </c>
      <c r="Q66" s="40">
        <f>Q58-Q65</f>
        <v>280.4535203707816</v>
      </c>
      <c r="R66" s="40">
        <f>R58-R65</f>
        <v>285.6225907781972</v>
      </c>
    </row>
    <row r="67" spans="1:18">
      <c r="A67" s="7" t="s">
        <v>475</v>
      </c>
      <c r="B67" s="9" t="s">
        <v>16</v>
      </c>
      <c r="D67" s="30">
        <f>IF(D54=1,0,D55/RONIC)</f>
        <v>0.0</v>
      </c>
      <c r="E67" s="30">
        <f>IF(E54=1,0,E55/RONIC)</f>
        <v>0.0</v>
      </c>
      <c r="F67" s="30">
        <f>IF(F54=1,0,F55/RONIC)</f>
        <v>0.0</v>
      </c>
      <c r="G67" s="30">
        <f>IF(G54=1,0,G55/RONIC)</f>
        <v>0.0</v>
      </c>
      <c r="H67" s="30">
        <f>IF(H54=1,0,H55/RONIC)</f>
        <v>0.0</v>
      </c>
      <c r="I67" s="30">
        <f>IF(I54=1,0,I55/RONIC)</f>
        <v>0.0</v>
      </c>
      <c r="J67" s="30">
        <f>IF(J54=1,0,J55/RONIC)</f>
        <v>0.0</v>
      </c>
      <c r="K67" s="30">
        <f>IF(K54=1,0,K55/RONIC)</f>
        <v>0.21710518988037456</v>
      </c>
      <c r="L67" s="30">
        <f>IF(L54=1,0,L55/RONIC)</f>
        <v>0.21710518988037456</v>
      </c>
      <c r="M67" s="30">
        <f>IF(M54=1,0,M55/RONIC)</f>
        <v>0.21710518988037456</v>
      </c>
      <c r="N67" s="30">
        <f>IF(N54=1,0,N55/RONIC)</f>
        <v>0.21710518988037456</v>
      </c>
      <c r="O67" s="30">
        <f>IF(O54=1,0,O55/RONIC)</f>
        <v>0.21710518988037456</v>
      </c>
      <c r="P67" s="30">
        <f>IF(P54=1,0,P55/RONIC)</f>
        <v>0.21710518988037456</v>
      </c>
      <c r="Q67" s="30">
        <f>IF(Q54=1,0,Q55/RONIC)</f>
        <v>0.21710518988037456</v>
      </c>
      <c r="R67" s="30">
        <f>IF(R54=1,0,R55/RONIC)</f>
        <v>0.21710518988037456</v>
      </c>
    </row>
    <row r="68" spans="1:18">
      <c r="A68" s="7" t="s">
        <v>476</v>
      </c>
      <c r="B68" s="9" t="s">
        <v>132</v>
      </c>
      <c r="D68" s="40">
        <f>D66*D67</f>
        <v>0.0</v>
      </c>
      <c r="E68" s="40">
        <f>E66*E67</f>
        <v>0.0</v>
      </c>
      <c r="F68" s="40">
        <f>F66*F67</f>
        <v>0.0</v>
      </c>
      <c r="G68" s="40">
        <f>G66*G67</f>
        <v>0.0</v>
      </c>
      <c r="H68" s="40">
        <f>H66*H67</f>
        <v>0.0</v>
      </c>
      <c r="I68" s="40">
        <f>I66*I67</f>
        <v>0.0</v>
      </c>
      <c r="J68" s="40">
        <f>J66*J67</f>
        <v>0.0</v>
      </c>
      <c r="K68" s="40">
        <f>K66*K67</f>
        <v>54.60180973245995</v>
      </c>
      <c r="L68" s="40">
        <f>L66*L67</f>
        <v>55.59831964356179</v>
      </c>
      <c r="M68" s="40">
        <f>M66*M67</f>
        <v>56.61475975288567</v>
      </c>
      <c r="N68" s="40">
        <f>N66*N67</f>
        <v>57.651528664396025</v>
      </c>
      <c r="O68" s="40">
        <f>O66*O67</f>
        <v>58.709032954136575</v>
      </c>
      <c r="P68" s="40">
        <f>P66*P67</f>
        <v>59.78768732967194</v>
      </c>
      <c r="Q68" s="40">
        <f>Q66*Q67</f>
        <v>60.88791479271803</v>
      </c>
      <c r="R68" s="40">
        <f>R66*R67</f>
        <v>62.01014680502502</v>
      </c>
    </row>
    <row r="69" spans="1:18">
      <c r="A69" s="7" t="s">
        <v>477</v>
      </c>
      <c r="B69" s="9" t="s">
        <v>132</v>
      </c>
      <c r="D69" s="40">
        <f>D66+D60-D61-D63-D68</f>
        <v>210.30621290036555</v>
      </c>
      <c r="E69" s="40">
        <f>E66+E60-E61-E63-E68</f>
        <v>119.57417665098453</v>
      </c>
      <c r="F69" s="40">
        <f>F66+F60-F61-F63-F68</f>
        <v>152.67170526479558</v>
      </c>
      <c r="G69" s="40">
        <f>G66+G60-G61-G63-G68</f>
        <v>187.1298773645081</v>
      </c>
      <c r="H69" s="40">
        <f>H66+H60-H61-H63-H68</f>
        <v>222.64865134466888</v>
      </c>
      <c r="I69" s="40">
        <f>I66+I60-I61-I63-I68</f>
        <v>255.67959112342322</v>
      </c>
      <c r="J69" s="40">
        <f>J66+J60-J61-J63-J68</f>
        <v>289.95150903278943</v>
      </c>
      <c r="K69" s="40">
        <f>K66+K60-K61-K63-K68</f>
        <v>196.89751998207</v>
      </c>
      <c r="L69" s="40">
        <f>L66+L60-L61-L63-L68</f>
        <v>200.4909966652588</v>
      </c>
      <c r="M69" s="40">
        <f>M66+M60-M61-M63-M68</f>
        <v>204.15634288211135</v>
      </c>
      <c r="N69" s="40">
        <f>N66+N60-N61-N63-N68</f>
        <v>207.89499602330096</v>
      </c>
      <c r="O69" s="40">
        <f>O66+O60-O61-O63-O68</f>
        <v>211.70842222731434</v>
      </c>
      <c r="P69" s="40">
        <f>P66+P60-P61-P63-P68</f>
        <v>215.598116955408</v>
      </c>
      <c r="Q69" s="40">
        <f>Q66+Q60-Q61-Q63-Q68</f>
        <v>219.56560557806355</v>
      </c>
      <c r="R69" s="40">
        <f>R66+R60-R61-R63-R68</f>
        <v>223.6124439731722</v>
      </c>
    </row>
    <row r="70" spans="1:18">
      <c r="A70" s="7" t="s">
        <v>478</v>
      </c>
      <c r="B70" s="9" t="s">
        <v>132</v>
      </c>
      <c r="D70" s="40">
        <f>D58+D60</f>
        <v>79.0060073031871</v>
      </c>
      <c r="E70" s="40">
        <f>E58+E60</f>
        <v>181.60168923935177</v>
      </c>
      <c r="F70" s="40">
        <f>F58+F60</f>
        <v>219.83184789303868</v>
      </c>
      <c r="G70" s="40">
        <f>G58+G60</f>
        <v>259.6797321798715</v>
      </c>
      <c r="H70" s="40">
        <f>H58+H60</f>
        <v>301.34638709478696</v>
      </c>
      <c r="I70" s="40">
        <f>I58+I60</f>
        <v>344.5758363134271</v>
      </c>
      <c r="J70" s="40">
        <f>J58+J60</f>
        <v>389.4139249459749</v>
      </c>
      <c r="K70" s="40">
        <f>K58+K60</f>
        <v>294.229909890423</v>
      </c>
      <c r="L70" s="40">
        <f>L58+L60</f>
        <v>300.1145080882315</v>
      </c>
      <c r="M70" s="40">
        <f>M58+M60</f>
        <v>306.1167982499962</v>
      </c>
      <c r="N70" s="40">
        <f>N58+N60</f>
        <v>312.2391342149961</v>
      </c>
      <c r="O70" s="40">
        <f>O58+O60</f>
        <v>318.48391689929605</v>
      </c>
      <c r="P70" s="40">
        <f>P58+P60</f>
        <v>324.853595237282</v>
      </c>
      <c r="Q70" s="40">
        <f>Q58+Q60</f>
        <v>331.35066714202765</v>
      </c>
      <c r="R70" s="40">
        <f>R58+R60</f>
        <v>337.9776804848682</v>
      </c>
    </row>
    <row r="73" spans="1:18">
      <c r="A73" s="11" t="s">
        <v>479</v>
      </c>
      <c r="F73" s="11" t="s">
        <v>487</v>
      </c>
    </row>
    <row r="74" spans="1:18">
      <c r="A74" s="7" t="s">
        <v>480</v>
      </c>
      <c r="B74" s="9" t="s">
        <v>16</v>
      </c>
      <c r="C74" s="31">
        <f>CAGR</f>
        <v>0.008119484164499813</v>
      </c>
      <c r="F74" s="10" t="s">
        <v>397</v>
      </c>
      <c r="G74" s="10" t="s">
        <v>488</v>
      </c>
      <c r="H74" s="10" t="s">
        <v>297</v>
      </c>
      <c r="I74" s="10" t="s">
        <v>489</v>
      </c>
      <c r="J74" s="10" t="s">
        <v>490</v>
      </c>
      <c r="K74" s="10" t="s">
        <v>491</v>
      </c>
    </row>
    <row r="75" spans="1:18">
      <c r="A75" s="7" t="s">
        <v>481</v>
      </c>
      <c r="B75" s="9" t="s">
        <v>16</v>
      </c>
      <c r="C75" s="30">
        <f>Forecast!D56/RevFY_Last-1</f>
        <v>0.014420191600999388</v>
      </c>
      <c r="F75" s="17" t="s">
        <v>492</v>
      </c>
      <c r="G75" s="19">
        <v>1</v>
      </c>
      <c r="H75" s="19">
        <v>86</v>
      </c>
      <c r="I75" s="41">
        <v>0.8421505991652263</v>
      </c>
      <c r="J75" s="41">
        <v>0.7074825021769591</v>
      </c>
      <c r="K75" s="41">
        <v>0.9543819135395756</v>
      </c>
    </row>
    <row r="76" spans="1:18">
      <c r="A76" s="7" t="s">
        <v>482</v>
      </c>
      <c r="B76" s="9" t="s">
        <v>16</v>
      </c>
      <c r="C76" s="30">
        <f>(INDEX(Forecast!$D$56:$R$56,MATCH(ExplicitEnd,Forecast!$D$49:$R$49,0))/Forecast!D56)^(1/(ExplicitEnd-YEAR(CfStart)))-1</f>
        <v>0.018603773459851425</v>
      </c>
      <c r="F76" s="17" t="s">
        <v>492</v>
      </c>
      <c r="G76" s="19">
        <v>2</v>
      </c>
      <c r="H76" s="19">
        <v>72</v>
      </c>
      <c r="I76" s="41">
        <v>0.7606224231315895</v>
      </c>
      <c r="J76" s="41">
        <v>0.5976456313892575</v>
      </c>
      <c r="K76" s="41">
        <v>0.8860566617472976</v>
      </c>
    </row>
    <row r="77" spans="1:18">
      <c r="A77" s="7" t="s">
        <v>483</v>
      </c>
      <c r="B77" s="9" t="s">
        <v>16</v>
      </c>
      <c r="C77" s="31">
        <f>PlanFcCAGR-PlanHistCAGR</f>
        <v>0.010484289295351612</v>
      </c>
      <c r="F77" s="17" t="s">
        <v>492</v>
      </c>
      <c r="G77" s="19">
        <v>3</v>
      </c>
      <c r="H77" s="19">
        <v>62</v>
      </c>
      <c r="I77" s="41">
        <v>0.7245470309188575</v>
      </c>
      <c r="J77" s="41">
        <v>0.4812633221065369</v>
      </c>
      <c r="K77" s="41">
        <v>0.9147255309581995</v>
      </c>
    </row>
    <row r="78" spans="1:18">
      <c r="A78" s="7" t="s">
        <v>484</v>
      </c>
      <c r="B78" s="9" t="s">
        <v>16</v>
      </c>
      <c r="C78" s="31">
        <f>HistMargin</f>
        <v>-0.05081969055412968</v>
      </c>
      <c r="F78" s="17" t="s">
        <v>361</v>
      </c>
      <c r="G78" s="19">
        <v>1</v>
      </c>
      <c r="H78" s="19">
        <v>89</v>
      </c>
      <c r="I78" s="41">
        <v>0.3982956729131097</v>
      </c>
      <c r="J78" s="41">
        <v>0.09873831080165263</v>
      </c>
      <c r="K78" s="41">
        <v>0.6655528646277076</v>
      </c>
    </row>
    <row r="79" spans="1:18">
      <c r="A79" s="7" t="s">
        <v>485</v>
      </c>
      <c r="B79" s="9" t="s">
        <v>16</v>
      </c>
      <c r="C79" s="31">
        <f>Margin_Sel</f>
        <v>0.014549550368848852</v>
      </c>
      <c r="F79" s="17" t="s">
        <v>361</v>
      </c>
      <c r="G79" s="19">
        <v>2</v>
      </c>
      <c r="H79" s="19">
        <v>75</v>
      </c>
      <c r="I79" s="41">
        <v>0.3140010643459286</v>
      </c>
      <c r="J79" s="41">
        <v>-0.02130102873380374</v>
      </c>
      <c r="K79" s="41">
        <v>0.5788897210986994</v>
      </c>
    </row>
    <row r="80" spans="1:18">
      <c r="A80" s="7" t="s">
        <v>486</v>
      </c>
      <c r="B80" s="9" t="s">
        <v>16</v>
      </c>
      <c r="C80" s="31">
        <f>PlanMargin-PlanHistMargin</f>
        <v>0.06536924092297854</v>
      </c>
      <c r="F80" s="17" t="s">
        <v>361</v>
      </c>
      <c r="G80" s="19">
        <v>3</v>
      </c>
      <c r="H80" s="19">
        <v>65</v>
      </c>
      <c r="I80" s="41">
        <v>0.1765891967613488</v>
      </c>
      <c r="J80" s="41">
        <v>-0.04873934244426127</v>
      </c>
      <c r="K80" s="41">
        <v>0.4290924911138924</v>
      </c>
    </row>
    <row r="81" spans="6:15">
      <c r="F81" s="9" t="s">
        <v>493</v>
      </c>
    </row>
    <row r="82" spans="6:15">
      <c r="F82" s="9" t="s">
        <v>494</v>
      </c>
    </row>
    <row r="84" spans="6:15">
      <c r="F84" s="11" t="s">
        <v>495</v>
      </c>
    </row>
    <row r="85" spans="6:15">
      <c r="F85" s="10" t="s">
        <v>228</v>
      </c>
      <c r="G85" s="10" t="s">
        <v>496</v>
      </c>
      <c r="H85" s="10" t="s">
        <v>497</v>
      </c>
      <c r="I85" s="10" t="s">
        <v>498</v>
      </c>
      <c r="J85" s="10" t="s">
        <v>499</v>
      </c>
      <c r="K85" s="10" t="s">
        <v>500</v>
      </c>
      <c r="L85" s="10" t="s">
        <v>501</v>
      </c>
      <c r="M85" s="10" t="s">
        <v>502</v>
      </c>
      <c r="N85" s="10" t="s">
        <v>503</v>
      </c>
      <c r="O85" s="10" t="s">
        <v>504</v>
      </c>
    </row>
    <row r="86" spans="6:15">
      <c r="F86" s="17" t="s">
        <v>505</v>
      </c>
      <c r="G86" s="41">
        <v>0.01147317257125025</v>
      </c>
      <c r="H86" s="41">
        <v>0.0952364535999059</v>
      </c>
      <c r="I86" s="19">
        <v>22</v>
      </c>
      <c r="J86" s="41">
        <v>0.8988809086030801</v>
      </c>
      <c r="K86" s="19">
        <v>22</v>
      </c>
      <c r="L86" s="41">
        <v>0.8566723672669806</v>
      </c>
      <c r="M86" s="19">
        <v>17</v>
      </c>
      <c r="N86" s="41">
        <v>0.8236466797299398</v>
      </c>
      <c r="O86" s="19">
        <v>16</v>
      </c>
    </row>
    <row r="87" spans="6:15">
      <c r="F87" s="17" t="s">
        <v>506</v>
      </c>
      <c r="G87" s="41">
        <v>0.0952364535999059</v>
      </c>
      <c r="H87" s="41">
        <v>0.1408543860198673</v>
      </c>
      <c r="I87" s="19">
        <v>21</v>
      </c>
      <c r="J87" s="41">
        <v>0.8353012386354257</v>
      </c>
      <c r="K87" s="19">
        <v>21</v>
      </c>
      <c r="L87" s="41">
        <v>0.8107971066924717</v>
      </c>
      <c r="M87" s="19">
        <v>16</v>
      </c>
      <c r="N87" s="41">
        <v>0.6500986326834829</v>
      </c>
      <c r="O87" s="19">
        <v>15</v>
      </c>
    </row>
    <row r="88" spans="6:15">
      <c r="F88" s="17" t="s">
        <v>507</v>
      </c>
      <c r="G88" s="41">
        <v>0.1408543860198673</v>
      </c>
      <c r="H88" s="41">
        <v>0.2417514790272772</v>
      </c>
      <c r="I88" s="19">
        <v>21</v>
      </c>
      <c r="J88" s="41">
        <v>0.8731623597603939</v>
      </c>
      <c r="K88" s="19">
        <v>21</v>
      </c>
      <c r="L88" s="41">
        <v>0.7737063296374036</v>
      </c>
      <c r="M88" s="19">
        <v>20</v>
      </c>
      <c r="N88" s="41">
        <v>0.7493962075306601</v>
      </c>
      <c r="O88" s="19">
        <v>16</v>
      </c>
    </row>
    <row r="89" spans="6:15">
      <c r="F89" s="17" t="s">
        <v>508</v>
      </c>
      <c r="G89" s="41">
        <v>0.2417514790272772</v>
      </c>
      <c r="H89" s="41">
        <v>1.33222773450475</v>
      </c>
      <c r="I89" s="19">
        <v>22</v>
      </c>
      <c r="J89" s="41">
        <v>0.7387549471697497</v>
      </c>
      <c r="K89" s="19">
        <v>22</v>
      </c>
      <c r="L89" s="41">
        <v>0.5470016896551724</v>
      </c>
      <c r="M89" s="19">
        <v>19</v>
      </c>
      <c r="N89" s="41">
        <v>0.5993141933772392</v>
      </c>
      <c r="O89" s="19">
        <v>15</v>
      </c>
    </row>
    <row r="91" spans="6:15">
      <c r="F91" s="7" t="s">
        <v>509</v>
      </c>
      <c r="J91" s="19">
        <v>5</v>
      </c>
    </row>
    <row r="92" spans="6:15">
      <c r="F92" s="7" t="s">
        <v>510</v>
      </c>
      <c r="J92" s="28">
        <f>(INDEX(Forecast!$D$56:$R$56,MATCH(YEAR(CfStart)+$J$91-1,Forecast!$D$49:$R$49,0))/Forecast!$D$56)^(1/($J$91-1))-1</f>
        <v>0.017906377062398615</v>
      </c>
    </row>
    <row r="93" spans="6:15">
      <c r="F93" s="7" t="s">
        <v>511</v>
      </c>
      <c r="J93" s="35">
        <f>IF(PlanFcCAGR5&gt;=$G$89,4,IF(PlanFcCAGR5&gt;=$G$88,3,IF(PlanFcCAGR5&gt;=$G$87,2,1)))</f>
        <v>1.0</v>
      </c>
      <c r="K93" s="7" t="str">
        <f>IF(OR(PlanFcCAGR5&lt;$G$86,PlanFcCAGR5&gt;$H$89),"표본 범위 밖(참고만)","표본 범위 안")</f>
        <v>표본 범위 안</v>
      </c>
    </row>
    <row r="94" spans="6:15">
      <c r="F94" s="7" t="s">
        <v>512</v>
      </c>
      <c r="J94" s="29">
        <f>INDEX($J$86:$J$89,PlanBand)</f>
        <v>0.89888090860308</v>
      </c>
      <c r="K94" s="29">
        <f>INDEX($L$86:$L$89,PlanBand)</f>
        <v>0.856672367266981</v>
      </c>
      <c r="L94" s="29">
        <f>INDEX($N$86:$N$89,PlanBand)</f>
        <v>0.82364667972994</v>
      </c>
    </row>
    <row r="95" spans="6:15">
      <c r="F95" s="9" t="s">
        <v>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E33"/>
  <sheetViews>
    <sheetView showGridLines="0" workbookViewId="0"/>
  </sheetViews>
  <sheetFormatPr defaultRowHeight="15"/>
  <cols>
    <col min="1" max="1" width="20.7109375" customWidth="1"/>
    <col min="2" max="2" width="10.7109375" customWidth="1"/>
    <col min="3" max="6" width="9.7109375" customWidth="1"/>
    <col min="7" max="7" width="8.7109375" customWidth="1"/>
    <col min="8" max="12" width="10.7109375" customWidth="1"/>
    <col min="13" max="15" width="11.7109375" customWidth="1"/>
  </cols>
  <sheetData>
    <row r="1" spans="1:5">
      <c r="A1" s="1" t="s">
        <v>514</v>
      </c>
    </row>
    <row r="2" spans="1:5">
      <c r="A2" s="9" t="s">
        <v>515</v>
      </c>
    </row>
    <row r="5" spans="1:5">
      <c r="A5" s="7" t="s">
        <v>278</v>
      </c>
      <c r="B5" s="9" t="s">
        <v>222</v>
      </c>
      <c r="C5" s="34">
        <f>BetaPubN</f>
        <v>6.0</v>
      </c>
    </row>
    <row r="6" spans="1:5">
      <c r="A6" s="3" t="s">
        <v>516</v>
      </c>
      <c r="C6" s="42">
        <f>BetaPubU</f>
        <v>0.623993707645853</v>
      </c>
      <c r="D6" s="9" t="s">
        <v>520</v>
      </c>
      <c r="E6" s="43">
        <v>0.623993707645853</v>
      </c>
    </row>
    <row r="7" spans="1:5">
      <c r="A7" s="7" t="s">
        <v>517</v>
      </c>
      <c r="C7" s="44">
        <f>BetaPubR2</f>
        <v>0.15</v>
      </c>
    </row>
    <row r="8" spans="1:5">
      <c r="A8" s="3" t="s">
        <v>518</v>
      </c>
      <c r="C8" s="5" t="str">
        <f>IF(ISNUMBER(BetaR2Median),IF(BetaR2Median&lt;BetaR2Warn,"경고: 회귀 베타 신뢰 낮음(R² 중앙값 "&amp;TEXT(BetaR2Median,"0.00")&amp;" &lt; "&amp;TEXT(BetaR2Warn,"0.00")&amp;")","경고 없음"),"공개 모드: 피어 부족 — R² 중앙값 표시 안 함")</f>
        <v>경고 없음</v>
      </c>
      <c r="D8" s="9" t="s">
        <v>519</v>
      </c>
    </row>
    <row r="10" spans="1:5">
      <c r="A10" s="11" t="s">
        <v>521</v>
      </c>
    </row>
    <row r="11" spans="1:5">
      <c r="A11" s="7" t="s">
        <v>522</v>
      </c>
      <c r="C11" s="45">
        <f>IF(ISNUMBER(RfOvr),RfOvr,IF(RfTenor=10,Rf_10Y,Rf_5Y))</f>
        <v>0.04203</v>
      </c>
    </row>
    <row r="12" spans="1:5">
      <c r="A12" s="7" t="s">
        <v>523</v>
      </c>
      <c r="C12" s="30">
        <f>IF(ISNUMBER(MrpOvr),MrpOvr,MRP)</f>
        <v>0.08</v>
      </c>
    </row>
    <row r="13" spans="1:5">
      <c r="A13" s="7" t="s">
        <v>524</v>
      </c>
      <c r="C13" s="30">
        <f>IF(ISNUMBER(SrpOvr),SrpOvr,SRP_Sel)</f>
        <v>0.0</v>
      </c>
    </row>
    <row r="14" spans="1:5">
      <c r="A14" s="7" t="s">
        <v>525</v>
      </c>
      <c r="C14" s="46">
        <f>BetaU</f>
        <v>0.623993707645853</v>
      </c>
    </row>
    <row r="15" spans="1:5">
      <c r="A15" s="7" t="s">
        <v>526</v>
      </c>
      <c r="B15" s="9" t="s">
        <v>106</v>
      </c>
      <c r="C15" s="39">
        <f>DE_Target</f>
        <v>0.004259655528319</v>
      </c>
    </row>
    <row r="16" spans="1:5">
      <c r="A16" s="7" t="s">
        <v>527</v>
      </c>
      <c r="C16" s="44">
        <f>BetaU*(1+(1-T_Hamada)*DE_Target)</f>
        <v>0.6260669462780528</v>
      </c>
    </row>
    <row r="17" spans="1:5">
      <c r="A17" s="7" t="s">
        <v>528</v>
      </c>
      <c r="C17" s="47">
        <f>Rf+BetaL*MRP_Eff+SRP_Eff</f>
        <v>0.09211535570224422</v>
      </c>
    </row>
    <row r="18" spans="1:5">
      <c r="A18" s="7" t="s">
        <v>529</v>
      </c>
      <c r="B18" s="9" t="s">
        <v>132</v>
      </c>
      <c r="C18" s="27">
        <f>PretaxLTM</f>
        <v>-4703.8600129999995</v>
      </c>
      <c r="D18" s="9" t="s">
        <v>530</v>
      </c>
    </row>
    <row r="19" spans="1:5">
      <c r="A19" s="7" t="s">
        <v>531</v>
      </c>
      <c r="B19" s="9" t="s">
        <v>16</v>
      </c>
      <c r="C19" s="28">
        <f>INDEX(TaxRate,COUNTIF(TaxTo,"&lt;"&amp;EbitEnd)+1)</f>
        <v>0.11</v>
      </c>
    </row>
    <row r="20" spans="1:5">
      <c r="A20" s="7" t="s">
        <v>532</v>
      </c>
      <c r="B20" s="9" t="s">
        <v>16</v>
      </c>
      <c r="C20" s="45">
        <f>IF(SUM(BorrowAmt)&gt;0,SUMPRODUCT(BorrowRate,BorrowAmt)/SUM(BorrowAmt),0)</f>
        <v>0.0</v>
      </c>
      <c r="D20" s="9" t="s">
        <v>533</v>
      </c>
      <c r="E20" s="5" t="str">
        <f>IF(OR(RatingIdx=0,RatingIdx&lt;=MATCH("AA-",RatingScale,0),RatingIdx&gt;MATCH("BBB+",RatingScale,0)),"미사용(규칙상: "&amp;IF(RatingIdx=0,"무등급 → BBB- 3년","등급 구간 밖")&amp;")","사용")</f>
        <v>미사용(규칙상: 무등급 → BBB- 3년)</v>
      </c>
    </row>
    <row r="21" spans="1:5">
      <c r="A21" s="7" t="s">
        <v>534</v>
      </c>
      <c r="C21" s="34">
        <f>IF(Rating="",0,MATCH(Rating,RatingScale,0))</f>
        <v>0.0</v>
      </c>
    </row>
    <row r="22" spans="1:5">
      <c r="A22" s="7" t="s">
        <v>535</v>
      </c>
      <c r="B22" s="9" t="s">
        <v>16</v>
      </c>
      <c r="C22" s="45">
        <f>IF(RatingIdx=0,Kd_BBB,IF(RatingIdx&lt;=MATCH("AA-",RatingScale,0),Kd_AA,IF(RatingIdx&lt;=MATCH("BBB+",RatingScale,0),MAX(N(Kd_Actual),Kd_AA),Kd_BBB)))</f>
        <v>0.10506</v>
      </c>
    </row>
    <row r="23" spans="1:5">
      <c r="A23" s="7" t="s">
        <v>536</v>
      </c>
      <c r="B23" s="9" t="s">
        <v>16</v>
      </c>
      <c r="C23" s="47">
        <f>MAX(C22,Rf)</f>
        <v>0.10506</v>
      </c>
    </row>
    <row r="24" spans="1:5">
      <c r="A24" s="7" t="s">
        <v>537</v>
      </c>
      <c r="B24" s="9" t="s">
        <v>16</v>
      </c>
      <c r="C24" s="47">
        <f>Kd_Pre*(1-T_Kd)</f>
        <v>0.0935034</v>
      </c>
      <c r="E24" s="5" t="str">
        <f>IF(DE_Target=0,"미사용(D/E 0 → WACC에 Kd 반영 안 됨)","사용(D/V "&amp;TEXT(DE_Target/(1+DE_Target),"0.0%")&amp;")")</f>
        <v>사용(D/V 0.4%)</v>
      </c>
    </row>
    <row r="25" spans="1:5">
      <c r="A25" s="7" t="s">
        <v>538</v>
      </c>
      <c r="B25" s="9" t="s">
        <v>16</v>
      </c>
      <c r="C25" s="30">
        <f>DE_Target/(1+DE_Target)</f>
        <v>0.004241587825290152</v>
      </c>
    </row>
    <row r="26" spans="1:5">
      <c r="A26" s="7" t="s">
        <v>539</v>
      </c>
      <c r="B26" s="9" t="s">
        <v>16</v>
      </c>
      <c r="C26" s="47">
        <f>(1-WD)*Ke+WD*Kd_AT</f>
        <v>0.09212124321403853</v>
      </c>
    </row>
    <row r="27" spans="1:5">
      <c r="A27" s="3" t="s">
        <v>540</v>
      </c>
      <c r="B27" s="9" t="s">
        <v>16</v>
      </c>
      <c r="C27" s="48">
        <f>IF(ISNUMBER(WaccOvr),WaccOvr,WaccCalc)</f>
        <v>0.09212124321403853</v>
      </c>
      <c r="D27" s="9" t="s">
        <v>541</v>
      </c>
    </row>
    <row r="28" spans="1:5">
      <c r="A28" s="9" t="s">
        <v>542</v>
      </c>
    </row>
    <row r="30" spans="1:5">
      <c r="A30" s="11" t="s">
        <v>543</v>
      </c>
    </row>
    <row r="31" spans="1:5">
      <c r="A31" s="7" t="s">
        <v>71</v>
      </c>
      <c r="B31" s="9" t="s">
        <v>16</v>
      </c>
      <c r="C31" s="45">
        <f>(1-WD)*(Rf+BetaL*MRP+SRP_1)+WD*Kd_AT</f>
        <v>0.09212124321403853</v>
      </c>
    </row>
    <row r="32" spans="1:5">
      <c r="A32" s="7" t="s">
        <v>74</v>
      </c>
      <c r="B32" s="9" t="s">
        <v>16</v>
      </c>
      <c r="C32" s="45">
        <f>(1-WD)*(Rf+BetaL*MRP+SRP_2)+WD*Kd_AT</f>
        <v>0.10207882733578563</v>
      </c>
    </row>
    <row r="33" spans="1:3">
      <c r="A33" s="7" t="s">
        <v>75</v>
      </c>
      <c r="B33" s="9" t="s">
        <v>16</v>
      </c>
      <c r="C33" s="45">
        <f>(1-WD)*(Rf+BetaL*MRP+SRP_3)+WD*Kd_AT</f>
        <v>0.11203641145753274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R59"/>
  <sheetViews>
    <sheetView showGridLines="0" workbookViewId="0"/>
  </sheetViews>
  <sheetFormatPr defaultRowHeight="15"/>
  <cols>
    <col min="1" max="1" width="42.7109375" customWidth="1"/>
    <col min="2" max="2" width="9.7109375" customWidth="1"/>
    <col min="3" max="4" width="14.7109375" customWidth="1"/>
    <col min="5" max="18" width="12.7109375" customWidth="1"/>
  </cols>
  <sheetData>
    <row r="1" spans="1:18">
      <c r="A1" s="1" t="s">
        <v>544</v>
      </c>
    </row>
    <row r="2" spans="1:18">
      <c r="A2" s="9" t="s">
        <v>545</v>
      </c>
    </row>
    <row r="4" spans="1:18">
      <c r="A4" s="7" t="s">
        <v>338</v>
      </c>
      <c r="D4" s="5" t="str">
        <f>Forecast!D47</f>
        <v>2H26</v>
      </c>
      <c r="E4" s="5" t="str">
        <f>Forecast!E47</f>
        <v>2027</v>
      </c>
      <c r="F4" s="5" t="str">
        <f>Forecast!F47</f>
        <v>2028</v>
      </c>
      <c r="G4" s="5" t="str">
        <f>Forecast!G47</f>
        <v>2029</v>
      </c>
      <c r="H4" s="5" t="str">
        <f>Forecast!H47</f>
        <v>2030</v>
      </c>
      <c r="I4" s="5" t="str">
        <f>Forecast!I47</f>
        <v>2031</v>
      </c>
      <c r="J4" s="5" t="str">
        <f>Forecast!J47</f>
        <v>2032</v>
      </c>
      <c r="K4" s="5" t="str">
        <f>Forecast!K47</f>
        <v>2033</v>
      </c>
      <c r="L4" s="5" t="str">
        <f>Forecast!L47</f>
        <v>2034</v>
      </c>
      <c r="M4" s="5" t="str">
        <f>Forecast!M47</f>
        <v>2035</v>
      </c>
      <c r="N4" s="5" t="str">
        <f>Forecast!N47</f>
        <v>2036</v>
      </c>
      <c r="O4" s="5" t="str">
        <f>Forecast!O47</f>
        <v>2037</v>
      </c>
      <c r="P4" s="5" t="str">
        <f>Forecast!P47</f>
        <v>2038</v>
      </c>
      <c r="Q4" s="5" t="str">
        <f>Forecast!Q47</f>
        <v>2039</v>
      </c>
      <c r="R4" s="5" t="str">
        <f>Forecast!R47</f>
        <v>2040</v>
      </c>
    </row>
    <row r="5" spans="1:18">
      <c r="A5" s="7" t="s">
        <v>49</v>
      </c>
      <c r="D5" s="36">
        <f>Forecast!D49</f>
        <v>2026.0</v>
      </c>
      <c r="E5" s="36">
        <f>Forecast!E49</f>
        <v>2027.0</v>
      </c>
      <c r="F5" s="36">
        <f>Forecast!F49</f>
        <v>2028.0</v>
      </c>
      <c r="G5" s="36">
        <f>Forecast!G49</f>
        <v>2029.0</v>
      </c>
      <c r="H5" s="36">
        <f>Forecast!H49</f>
        <v>2030.0</v>
      </c>
      <c r="I5" s="36">
        <f>Forecast!I49</f>
        <v>2031.0</v>
      </c>
      <c r="J5" s="36">
        <f>Forecast!J49</f>
        <v>2032.0</v>
      </c>
      <c r="K5" s="36">
        <f>Forecast!K49</f>
        <v>2033.0</v>
      </c>
      <c r="L5" s="36">
        <f>Forecast!L49</f>
        <v>2034.0</v>
      </c>
      <c r="M5" s="36">
        <f>Forecast!M49</f>
        <v>2035.0</v>
      </c>
      <c r="N5" s="36">
        <f>Forecast!N49</f>
        <v>2036.0</v>
      </c>
      <c r="O5" s="36">
        <f>Forecast!O49</f>
        <v>2037.0</v>
      </c>
      <c r="P5" s="36">
        <f>Forecast!P49</f>
        <v>2038.0</v>
      </c>
      <c r="Q5" s="36">
        <f>Forecast!Q49</f>
        <v>2039.0</v>
      </c>
      <c r="R5" s="36">
        <f>Forecast!R49</f>
        <v>2040.0</v>
      </c>
    </row>
    <row r="6" spans="1:18">
      <c r="A6" s="7" t="s">
        <v>546</v>
      </c>
      <c r="D6" s="39">
        <f>Forecast!D53</f>
        <v>0.5041095890410959</v>
      </c>
      <c r="E6" s="39">
        <f>Forecast!E53</f>
        <v>1.0</v>
      </c>
      <c r="F6" s="39">
        <f>Forecast!F53</f>
        <v>1.0027397260273974</v>
      </c>
      <c r="G6" s="39">
        <f>Forecast!G53</f>
        <v>1.0</v>
      </c>
      <c r="H6" s="39">
        <f>Forecast!H53</f>
        <v>1.0</v>
      </c>
      <c r="I6" s="39">
        <f>Forecast!I53</f>
        <v>1.0</v>
      </c>
      <c r="J6" s="39">
        <f>Forecast!J53</f>
        <v>1.0027397260273974</v>
      </c>
      <c r="K6" s="39">
        <f>Forecast!K53</f>
        <v>1.0</v>
      </c>
      <c r="L6" s="39">
        <f>Forecast!L53</f>
        <v>1.0</v>
      </c>
      <c r="M6" s="39">
        <f>Forecast!M53</f>
        <v>1.0</v>
      </c>
      <c r="N6" s="39">
        <f>Forecast!N53</f>
        <v>1.0027397260273974</v>
      </c>
      <c r="O6" s="39">
        <f>Forecast!O53</f>
        <v>1.0</v>
      </c>
      <c r="P6" s="39">
        <f>Forecast!P53</f>
        <v>1.0</v>
      </c>
      <c r="Q6" s="39">
        <f>Forecast!Q53</f>
        <v>1.0</v>
      </c>
      <c r="R6" s="39">
        <f>Forecast!R53</f>
        <v>1.0027397260273974</v>
      </c>
    </row>
    <row r="7" spans="1:18">
      <c r="A7" s="7" t="s">
        <v>460</v>
      </c>
      <c r="D7" s="37">
        <f>Forecast!D52</f>
        <v>46387.0</v>
      </c>
      <c r="E7" s="37">
        <f>Forecast!E52</f>
        <v>46752.0</v>
      </c>
      <c r="F7" s="37">
        <f>Forecast!F52</f>
        <v>47118.0</v>
      </c>
      <c r="G7" s="37">
        <f>Forecast!G52</f>
        <v>47483.0</v>
      </c>
      <c r="H7" s="37">
        <f>Forecast!H52</f>
        <v>47848.0</v>
      </c>
      <c r="I7" s="37">
        <f>Forecast!I52</f>
        <v>48213.0</v>
      </c>
      <c r="J7" s="37">
        <f>Forecast!J52</f>
        <v>48579.0</v>
      </c>
      <c r="K7" s="37">
        <f>Forecast!K52</f>
        <v>48944.0</v>
      </c>
      <c r="L7" s="37">
        <f>Forecast!L52</f>
        <v>49309.0</v>
      </c>
      <c r="M7" s="37">
        <f>Forecast!M52</f>
        <v>49674.0</v>
      </c>
      <c r="N7" s="37">
        <f>Forecast!N52</f>
        <v>50040.0</v>
      </c>
      <c r="O7" s="37">
        <f>Forecast!O52</f>
        <v>50405.0</v>
      </c>
      <c r="P7" s="37">
        <f>Forecast!P52</f>
        <v>50770.0</v>
      </c>
      <c r="Q7" s="37">
        <f>Forecast!Q52</f>
        <v>51135.0</v>
      </c>
      <c r="R7" s="37">
        <f>Forecast!R52</f>
        <v>51501.0</v>
      </c>
    </row>
    <row r="8" spans="1:18">
      <c r="A8" s="7" t="s">
        <v>477</v>
      </c>
      <c r="B8" s="9" t="s">
        <v>132</v>
      </c>
      <c r="D8" s="27">
        <f>Forecast!D69</f>
        <v>210.30621290036555</v>
      </c>
      <c r="E8" s="27">
        <f>Forecast!E69</f>
        <v>119.57417665098453</v>
      </c>
      <c r="F8" s="27">
        <f>Forecast!F69</f>
        <v>152.67170526479558</v>
      </c>
      <c r="G8" s="27">
        <f>Forecast!G69</f>
        <v>187.1298773645081</v>
      </c>
      <c r="H8" s="27">
        <f>Forecast!H69</f>
        <v>222.64865134466888</v>
      </c>
      <c r="I8" s="27">
        <f>Forecast!I69</f>
        <v>255.67959112342322</v>
      </c>
      <c r="J8" s="27">
        <f>Forecast!J69</f>
        <v>289.95150903278943</v>
      </c>
      <c r="K8" s="27">
        <f>Forecast!K69</f>
        <v>196.89751998207</v>
      </c>
      <c r="L8" s="27">
        <f>Forecast!L69</f>
        <v>200.4909966652588</v>
      </c>
      <c r="M8" s="27">
        <f>Forecast!M69</f>
        <v>204.15634288211135</v>
      </c>
      <c r="N8" s="27">
        <f>Forecast!N69</f>
        <v>207.89499602330096</v>
      </c>
      <c r="O8" s="27">
        <f>Forecast!O69</f>
        <v>211.70842222731434</v>
      </c>
      <c r="P8" s="27">
        <f>Forecast!P69</f>
        <v>215.598116955408</v>
      </c>
      <c r="Q8" s="27">
        <f>Forecast!Q69</f>
        <v>219.56560557806355</v>
      </c>
      <c r="R8" s="27">
        <f>Forecast!R69</f>
        <v>223.6124439731722</v>
      </c>
    </row>
    <row r="9" spans="1:18">
      <c r="A9" s="7" t="s">
        <v>547</v>
      </c>
      <c r="B9" s="9" t="s">
        <v>21</v>
      </c>
      <c r="D9" s="39">
        <f>(D7-DiscDate)/DaysYr</f>
        <v>0.5041095890410959</v>
      </c>
      <c r="E9" s="39">
        <f>(E7-DiscDate)/DaysYr</f>
        <v>1.5041095890410958</v>
      </c>
      <c r="F9" s="39">
        <f>(F7-DiscDate)/DaysYr</f>
        <v>2.506849315068493</v>
      </c>
      <c r="G9" s="39">
        <f>(G7-DiscDate)/DaysYr</f>
        <v>3.506849315068493</v>
      </c>
      <c r="H9" s="39">
        <f>(H7-DiscDate)/DaysYr</f>
        <v>4.506849315068493</v>
      </c>
      <c r="I9" s="39">
        <f>(I7-DiscDate)/DaysYr</f>
        <v>5.506849315068493</v>
      </c>
      <c r="J9" s="39">
        <f>(J7-DiscDate)/DaysYr</f>
        <v>6.50958904109589</v>
      </c>
      <c r="K9" s="39">
        <f>(K7-DiscDate)/DaysYr</f>
        <v>7.50958904109589</v>
      </c>
      <c r="L9" s="39">
        <f>(L7-DiscDate)/DaysYr</f>
        <v>8.509589041095891</v>
      </c>
      <c r="M9" s="39">
        <f>(M7-DiscDate)/DaysYr</f>
        <v>9.509589041095891</v>
      </c>
      <c r="N9" s="39">
        <f>(N7-DiscDate)/DaysYr</f>
        <v>10.512328767123288</v>
      </c>
      <c r="O9" s="39">
        <f>(O7-DiscDate)/DaysYr</f>
        <v>11.512328767123288</v>
      </c>
      <c r="P9" s="39">
        <f>(P7-DiscDate)/DaysYr</f>
        <v>12.512328767123288</v>
      </c>
      <c r="Q9" s="39">
        <f>(Q7-DiscDate)/DaysYr</f>
        <v>13.512328767123288</v>
      </c>
      <c r="R9" s="39">
        <f>(R7-DiscDate)/DaysYr</f>
        <v>14.515068493150684</v>
      </c>
    </row>
    <row r="10" spans="1:18">
      <c r="A10" s="7" t="s">
        <v>548</v>
      </c>
      <c r="B10" s="9" t="s">
        <v>21</v>
      </c>
      <c r="D10" s="39">
        <f>D9-IF(MidYear=1,D6/2,0)</f>
        <v>0.25205479452054796</v>
      </c>
      <c r="E10" s="39">
        <f>E9-IF(MidYear=1,E6/2,0)</f>
        <v>1.0041095890410958</v>
      </c>
      <c r="F10" s="39">
        <f>F9-IF(MidYear=1,F6/2,0)</f>
        <v>2.0054794520547943</v>
      </c>
      <c r="G10" s="39">
        <f>G9-IF(MidYear=1,G6/2,0)</f>
        <v>3.006849315068493</v>
      </c>
      <c r="H10" s="39">
        <f>H9-IF(MidYear=1,H6/2,0)</f>
        <v>4.006849315068493</v>
      </c>
      <c r="I10" s="39">
        <f>I9-IF(MidYear=1,I6/2,0)</f>
        <v>5.006849315068493</v>
      </c>
      <c r="J10" s="39">
        <f>J9-IF(MidYear=1,J6/2,0)</f>
        <v>6.008219178082191</v>
      </c>
      <c r="K10" s="39">
        <f>K9-IF(MidYear=1,K6/2,0)</f>
        <v>7.00958904109589</v>
      </c>
      <c r="L10" s="39">
        <f>L9-IF(MidYear=1,L6/2,0)</f>
        <v>8.009589041095891</v>
      </c>
      <c r="M10" s="39">
        <f>M9-IF(MidYear=1,M6/2,0)</f>
        <v>9.009589041095891</v>
      </c>
      <c r="N10" s="39">
        <f>N9-IF(MidYear=1,N6/2,0)</f>
        <v>10.01095890410959</v>
      </c>
      <c r="O10" s="39">
        <f>O9-IF(MidYear=1,O6/2,0)</f>
        <v>11.012328767123288</v>
      </c>
      <c r="P10" s="39">
        <f>P9-IF(MidYear=1,P6/2,0)</f>
        <v>12.012328767123288</v>
      </c>
      <c r="Q10" s="39">
        <f>Q9-IF(MidYear=1,Q6/2,0)</f>
        <v>13.012328767123288</v>
      </c>
      <c r="R10" s="39">
        <f>R9-IF(MidYear=1,R6/2,0)</f>
        <v>14.013698630136986</v>
      </c>
    </row>
    <row r="11" spans="1:18">
      <c r="A11" s="7" t="s">
        <v>549</v>
      </c>
      <c r="D11" s="39">
        <f>(1+WACC)^(-D10)</f>
        <v>0.9780333128264598</v>
      </c>
      <c r="E11" s="39">
        <f>(1+WACC)^(-E10)</f>
        <v>0.9153177149371956</v>
      </c>
      <c r="F11" s="39">
        <f>(1+WACC)^(-F10)</f>
        <v>0.8380088152095992</v>
      </c>
      <c r="G11" s="39">
        <f>(1+WACC)^(-G10)</f>
        <v>0.7672295235946369</v>
      </c>
      <c r="H11" s="39">
        <f>(1+WACC)^(-H10)</f>
        <v>0.7025131397835762</v>
      </c>
      <c r="I11" s="39">
        <f>(1+WACC)^(-I10)</f>
        <v>0.6432556313217823</v>
      </c>
      <c r="J11" s="39">
        <f>(1+WACC)^(-J10)</f>
        <v>0.5889254416078429</v>
      </c>
      <c r="K11" s="39">
        <f>(1+WACC)^(-K10)</f>
        <v>0.5391840488987385</v>
      </c>
      <c r="L11" s="39">
        <f>(1+WACC)^(-L10)</f>
        <v>0.4937034713398271</v>
      </c>
      <c r="M11" s="39">
        <f>(1+WACC)^(-M10)</f>
        <v>0.4520592144942546</v>
      </c>
      <c r="N11" s="39">
        <f>(1+WACC)^(-N10)</f>
        <v>0.4138777176064005</v>
      </c>
      <c r="O11" s="39">
        <f>(1+WACC)^(-O10)</f>
        <v>0.3789210785642783</v>
      </c>
      <c r="P11" s="39">
        <f>(1+WACC)^(-P10)</f>
        <v>0.34695880234793286</v>
      </c>
      <c r="Q11" s="39">
        <f>(1+WACC)^(-Q10)</f>
        <v>0.3176925680218953</v>
      </c>
      <c r="R11" s="39">
        <f>(1+WACC)^(-R10)</f>
        <v>0.2908598491914808</v>
      </c>
    </row>
    <row r="12" spans="1:18">
      <c r="A12" s="7" t="s">
        <v>550</v>
      </c>
      <c r="B12" s="9" t="s">
        <v>132</v>
      </c>
      <c r="D12" s="40">
        <f>D8*D11</f>
        <v>205.68648211093128</v>
      </c>
      <c r="E12" s="40">
        <f>E8*E11</f>
        <v>109.44836213767573</v>
      </c>
      <c r="F12" s="40">
        <f>F8*F11</f>
        <v>127.94023484498048</v>
      </c>
      <c r="G12" s="40">
        <f>G8*G11</f>
        <v>143.57156666069437</v>
      </c>
      <c r="H12" s="40">
        <f>H8*H11</f>
        <v>156.4136031247221</v>
      </c>
      <c r="I12" s="40">
        <f>I8*I11</f>
        <v>164.46733680419277</v>
      </c>
      <c r="J12" s="40">
        <f>J8*J11</f>
        <v>170.75982050199596</v>
      </c>
      <c r="K12" s="40">
        <f>K8*K11</f>
        <v>106.16400204205277</v>
      </c>
      <c r="L12" s="40">
        <f>L8*L11</f>
        <v>98.98310102601997</v>
      </c>
      <c r="M12" s="40">
        <f>M8*M11</f>
        <v>92.29075599730696</v>
      </c>
      <c r="N12" s="40">
        <f>N8*N11</f>
        <v>86.04310645591552</v>
      </c>
      <c r="O12" s="40">
        <f>O8*O11</f>
        <v>80.22078369151558</v>
      </c>
      <c r="P12" s="40">
        <f>P8*P11</f>
        <v>74.80366444731791</v>
      </c>
      <c r="Q12" s="40">
        <f>Q8*Q11</f>
        <v>69.7543610853776</v>
      </c>
      <c r="R12" s="40">
        <f>R8*R11</f>
        <v>65.0398817313753</v>
      </c>
    </row>
    <row r="14" spans="1:18">
      <c r="A14" s="11" t="s">
        <v>551</v>
      </c>
    </row>
    <row r="15" spans="1:18">
      <c r="A15" s="7" t="s">
        <v>552</v>
      </c>
      <c r="B15" s="9" t="s">
        <v>132</v>
      </c>
      <c r="C15" s="27">
        <f>Forecast!D56*Margin_Sel</f>
        <v>54.4174324654688</v>
      </c>
    </row>
    <row r="16" spans="1:18">
      <c r="A16" s="7" t="s">
        <v>553</v>
      </c>
      <c r="B16" s="9" t="s">
        <v>132</v>
      </c>
      <c r="C16" s="27">
        <f>C15-IF(C15&gt;0,SUMPRODUCT((C15&gt;TaxFrom)*(C15-TaxFrom)*TaxDRate),0)</f>
        <v>48.43151489426723</v>
      </c>
    </row>
    <row r="17" spans="1:4">
      <c r="A17" s="7" t="s">
        <v>554</v>
      </c>
      <c r="B17" s="9" t="s">
        <v>132</v>
      </c>
      <c r="C17" s="27">
        <f>Forecast!D59</f>
        <v>-229.58167111207166</v>
      </c>
    </row>
    <row r="18" spans="1:4">
      <c r="A18" s="7" t="s">
        <v>555</v>
      </c>
      <c r="B18" s="9" t="s">
        <v>132</v>
      </c>
      <c r="C18" s="27">
        <f>C17-IF(C17&gt;0,SUMPRODUCT((C17&gt;TaxFrom)*(C17-TaxFrom)*TaxDRate),0)</f>
        <v>-229.58167111207166</v>
      </c>
    </row>
    <row r="19" spans="1:4">
      <c r="A19" s="7" t="s">
        <v>556</v>
      </c>
      <c r="B19" s="9" t="s">
        <v>132</v>
      </c>
      <c r="C19" s="27">
        <f>IF(RonicStart="normal",C16,C18)</f>
        <v>48.43151489426723</v>
      </c>
      <c r="D19" s="9" t="s">
        <v>557</v>
      </c>
    </row>
    <row r="20" spans="1:4">
      <c r="A20" s="7" t="s">
        <v>558</v>
      </c>
      <c r="B20" s="9" t="s">
        <v>132</v>
      </c>
      <c r="C20" s="27">
        <f>INDEX(Forecast!$D$58:$R$58,MATCH(ExplicitEnd,Forecast!$D$49:$R$49,0))</f>
        <v>288.46069597100296</v>
      </c>
    </row>
    <row r="21" spans="1:4">
      <c r="A21" s="7" t="s">
        <v>559</v>
      </c>
      <c r="B21" s="9" t="s">
        <v>132</v>
      </c>
      <c r="C21" s="27">
        <f>C20-IF(C20&gt;0,SUMPRODUCT((C20&gt;TaxFrom)*(C20-TaxFrom)*TaxDRate),0)</f>
        <v>246.99934285738232</v>
      </c>
    </row>
    <row r="22" spans="1:4">
      <c r="A22" s="7" t="s">
        <v>560</v>
      </c>
      <c r="B22" s="9" t="s">
        <v>132</v>
      </c>
      <c r="C22" s="27">
        <f>SUMPRODUCT((Forecast!$D$48:$R$48&gt;1)*Forecast!$D$54:$R$54*(Forecast!$D$61:$R$61-Forecast!$D$60:$R$60+Forecast!$D$63:$R$63))</f>
        <v>-246.83056521543205</v>
      </c>
    </row>
    <row r="23" spans="1:4">
      <c r="A23" s="7" t="s">
        <v>561</v>
      </c>
      <c r="C23" s="31">
        <f>IF(C22&gt;0,(C21-C19)/C22,0)</f>
        <v>0.0</v>
      </c>
    </row>
    <row r="24" spans="1:4">
      <c r="A24" s="3" t="s">
        <v>562</v>
      </c>
      <c r="C24" s="49">
        <f>IF(C22&lt;=0,WACC,IF(C23&lt;WACC,WACC,IF(C23&gt;RonicCap,MAX(RonicCap,WACC),C23)))</f>
        <v>0.09212124321403853</v>
      </c>
      <c r="D24" s="9" t="s">
        <v>563</v>
      </c>
    </row>
    <row r="25" spans="1:4">
      <c r="A25" s="7" t="s">
        <v>564</v>
      </c>
      <c r="C25" s="5" t="str">
        <f>IF(C22&lt;=0,"재투자 ≤ 0 → WACC",IF(C23&lt;WACC,"계산값 &lt; WACC → 하한",IF(C23&gt;RonicCap,IF(RonicCap&lt;WACC,"과거 ROIC &lt; WACC → WACC(하한 우선)","계산값 &gt; 상한(과거 ROIC)"),"계산값 사용")))</f>
        <v>재투자 ≤ 0 → WACC</v>
      </c>
    </row>
    <row r="27" spans="1:4">
      <c r="A27" s="11" t="s">
        <v>565</v>
      </c>
    </row>
    <row r="28" spans="1:4">
      <c r="A28" s="7" t="s">
        <v>566</v>
      </c>
      <c r="B28" s="9" t="s">
        <v>132</v>
      </c>
      <c r="C28" s="27">
        <f>Forecast!$R$57</f>
        <v>4894.648767437321</v>
      </c>
    </row>
    <row r="29" spans="1:4">
      <c r="A29" s="7" t="s">
        <v>567</v>
      </c>
      <c r="B29" s="9" t="s">
        <v>132</v>
      </c>
      <c r="C29" s="27">
        <f>Forecast!$R$58</f>
        <v>337.9776804848682</v>
      </c>
    </row>
    <row r="30" spans="1:4">
      <c r="A30" s="7" t="s">
        <v>568</v>
      </c>
      <c r="B30" s="9" t="s">
        <v>132</v>
      </c>
      <c r="C30" s="27">
        <f>C28*(1+GEff)</f>
        <v>4992.5417427860675</v>
      </c>
    </row>
    <row r="31" spans="1:4">
      <c r="A31" s="7" t="s">
        <v>569</v>
      </c>
      <c r="B31" s="9" t="s">
        <v>132</v>
      </c>
      <c r="C31" s="27">
        <f>C30*(Margin_Sel+MarginConvAmt)</f>
        <v>344.73723409456557</v>
      </c>
    </row>
    <row r="32" spans="1:4">
      <c r="A32" s="7" t="s">
        <v>570</v>
      </c>
      <c r="B32" s="9" t="s">
        <v>132</v>
      </c>
      <c r="C32" s="27">
        <f>C31-IF(C31&gt;0,SUMPRODUCT((C31&gt;TaxFrom)*(C31-TaxFrom)*TaxDRate),0)</f>
        <v>290.89504259376116</v>
      </c>
    </row>
    <row r="33" spans="1:4">
      <c r="A33" s="7" t="s">
        <v>571</v>
      </c>
      <c r="B33" s="9" t="s">
        <v>132</v>
      </c>
      <c r="C33" s="27">
        <f>C32*(1-GEff/RONIC)</f>
        <v>227.74021913618301</v>
      </c>
    </row>
    <row r="34" spans="1:4">
      <c r="A34" s="3" t="s">
        <v>572</v>
      </c>
      <c r="B34" s="9" t="s">
        <v>132</v>
      </c>
      <c r="C34" s="50">
        <f>C33/(WACC-GEff)*IF(MidYear=1,(1+WACC)^0.5,1)</f>
        <v>3299.9849344927848</v>
      </c>
    </row>
    <row r="35" spans="1:4">
      <c r="A35" s="7" t="s">
        <v>573</v>
      </c>
      <c r="C35" s="51">
        <f>R9</f>
        <v>14.515068493150684</v>
      </c>
    </row>
    <row r="36" spans="1:4">
      <c r="A36" s="7" t="s">
        <v>574</v>
      </c>
      <c r="B36" s="9" t="s">
        <v>132</v>
      </c>
      <c r="C36" s="27">
        <f>C34*(1+WACC)^(-C35)</f>
        <v>918.3492561706479</v>
      </c>
    </row>
    <row r="37" spans="1:4">
      <c r="A37" s="7" t="s">
        <v>575</v>
      </c>
      <c r="B37" s="9" t="s">
        <v>132</v>
      </c>
      <c r="C37" s="40">
        <f>SUM(D12:R12)</f>
        <v>1751.5870626620742</v>
      </c>
    </row>
    <row r="38" spans="1:4">
      <c r="A38" s="7" t="s">
        <v>576</v>
      </c>
      <c r="B38" s="9" t="s">
        <v>132</v>
      </c>
      <c r="C38" s="40">
        <f>C37+C36</f>
        <v>2669.936318832722</v>
      </c>
    </row>
    <row r="39" spans="1:4">
      <c r="A39" s="7" t="s">
        <v>577</v>
      </c>
      <c r="C39" s="34">
        <f>ValDate-DiscDate</f>
        <v>92.0</v>
      </c>
    </row>
    <row r="40" spans="1:4">
      <c r="A40" s="3" t="s">
        <v>578</v>
      </c>
      <c r="B40" s="9" t="s">
        <v>132</v>
      </c>
      <c r="C40" s="50">
        <f>C38*(1+WACC)^(C39/DaysYr)</f>
        <v>2729.90324952916</v>
      </c>
    </row>
    <row r="41" spans="1:4">
      <c r="A41" s="7" t="s">
        <v>579</v>
      </c>
      <c r="C41" s="29">
        <f>C36/C38</f>
        <v>0.3439592359162124</v>
      </c>
    </row>
    <row r="42" spans="1:4">
      <c r="A42" s="7" t="s">
        <v>580</v>
      </c>
      <c r="B42" s="9" t="s">
        <v>132</v>
      </c>
      <c r="C42" s="27">
        <f>INDEX(Forecast!$D$60:$R$60,MATCH(ExplicitEnd,Forecast!$D$49:$R$49,0))</f>
        <v>100.95322897497192</v>
      </c>
    </row>
    <row r="43" spans="1:4">
      <c r="A43" s="7" t="s">
        <v>581</v>
      </c>
      <c r="B43" s="9" t="s">
        <v>132</v>
      </c>
      <c r="C43" s="27">
        <f>INDEX(Forecast!$D$57:$R$57,MATCH(ExplicitEnd,Forecast!$D$49:$R$49,0))</f>
        <v>4177.5355933653</v>
      </c>
    </row>
    <row r="44" spans="1:4">
      <c r="A44" s="7" t="s">
        <v>582</v>
      </c>
      <c r="B44" s="9" t="s">
        <v>132</v>
      </c>
      <c r="C44" s="27">
        <f>C28*DnaRatio</f>
        <v>118.28279777099561</v>
      </c>
    </row>
    <row r="45" spans="1:4">
      <c r="A45" s="7" t="s">
        <v>583</v>
      </c>
      <c r="B45" s="9" t="s">
        <v>132</v>
      </c>
      <c r="C45" s="40">
        <f>C29+C44</f>
        <v>456.2604782558638</v>
      </c>
    </row>
    <row r="46" spans="1:4">
      <c r="A46" s="7" t="s">
        <v>584</v>
      </c>
      <c r="C46" s="52">
        <f>IF(C45&gt;0,C34/C45,"N/M")</f>
        <v>7.232677586074427</v>
      </c>
    </row>
    <row r="47" spans="1:4">
      <c r="A47" s="7" t="s">
        <v>585</v>
      </c>
      <c r="C47" s="53" t="str">
        <f>PeerEvEbitdaMed</f>
        <v>N/M</v>
      </c>
      <c r="D47" s="9" t="s">
        <v>586</v>
      </c>
    </row>
    <row r="48" spans="1:4">
      <c r="A48" s="7" t="s">
        <v>587</v>
      </c>
      <c r="B48" s="9" t="s">
        <v>132</v>
      </c>
      <c r="C48" s="40" t="str">
        <f>IF(ISNUMBER(C47),C47*C45,"N/M")</f>
        <v>N/M</v>
      </c>
      <c r="D48" s="9" t="s">
        <v>588</v>
      </c>
    </row>
    <row r="49" spans="1:6">
      <c r="A49" s="7" t="s">
        <v>589</v>
      </c>
      <c r="B49" s="9" t="s">
        <v>132</v>
      </c>
      <c r="C49" s="27" t="str">
        <f>IF(ISNUMBER(C47),C48*(1+WACC)^(-C35),"N/M")</f>
        <v>N/M</v>
      </c>
    </row>
    <row r="50" spans="1:6">
      <c r="A50" s="7" t="s">
        <v>590</v>
      </c>
      <c r="B50" s="9" t="s">
        <v>132</v>
      </c>
      <c r="C50" s="40" t="str">
        <f>IF(ISNUMBER(C47),C37+C49,"N/M")</f>
        <v>N/M</v>
      </c>
    </row>
    <row r="51" spans="1:6">
      <c r="A51" s="7" t="s">
        <v>591</v>
      </c>
      <c r="B51" s="9" t="s">
        <v>132</v>
      </c>
      <c r="C51" s="27" t="str">
        <f>IF(ISNUMBER(C47),C50*(1+WACC)^(C39/DaysYr),"N/M")</f>
        <v>N/M</v>
      </c>
    </row>
    <row r="52" spans="1:6">
      <c r="A52" s="7" t="s">
        <v>592</v>
      </c>
      <c r="C52" s="29" t="str">
        <f>IF(ISNUMBER(C47),C49/C50,"N/M")</f>
        <v>N/M</v>
      </c>
    </row>
    <row r="53" spans="1:6">
      <c r="A53" s="7" t="s">
        <v>593</v>
      </c>
      <c r="C53" s="30" t="str">
        <f>IF(ISNUMBER(C47),(C48/IF(MidYear=1,(1+WACC)^0.5,1)*WACC-C33/(1+GEff))/(C48/IF(MidYear=1,(1+WACC)^0.5,1)+C33/(1+GEff)),"N/M")</f>
        <v>N/M</v>
      </c>
    </row>
    <row r="55" spans="1:6">
      <c r="A55" s="11" t="s">
        <v>594</v>
      </c>
    </row>
    <row r="56" spans="1:6">
      <c r="A56" s="10" t="s">
        <v>595</v>
      </c>
      <c r="B56" s="10" t="s">
        <v>235</v>
      </c>
      <c r="C56" s="10" t="s">
        <v>596</v>
      </c>
      <c r="D56" s="10" t="s">
        <v>597</v>
      </c>
      <c r="E56" s="10" t="s">
        <v>598</v>
      </c>
      <c r="F56" s="10" t="s">
        <v>599</v>
      </c>
    </row>
    <row r="57" spans="1:6">
      <c r="A57" s="7" t="s">
        <v>600</v>
      </c>
      <c r="C57" s="54">
        <f>PerShare</f>
        <v>8733.86445114907</v>
      </c>
      <c r="D57" s="52">
        <f>ImpliedMultiple</f>
        <v>7.232677586074427</v>
      </c>
      <c r="E57" s="30">
        <f>GEff</f>
        <v>0.02</v>
      </c>
      <c r="F57" s="29">
        <f>TVShare</f>
        <v>0.3439592359162124</v>
      </c>
    </row>
    <row r="58" spans="1:6">
      <c r="A58" s="7" t="s">
        <v>601</v>
      </c>
      <c r="C58" s="54" t="str">
        <f>PerShareExit</f>
        <v>N/M</v>
      </c>
      <c r="D58" s="52" t="str">
        <f>ExitMult</f>
        <v>N/M</v>
      </c>
      <c r="E58" s="31" t="str">
        <f>ImpliedG_Exit</f>
        <v>N/M</v>
      </c>
      <c r="F58" s="29" t="str">
        <f>TVShare_Exit</f>
        <v>N/M</v>
      </c>
    </row>
    <row r="59" spans="1:6">
      <c r="A59" s="9" t="s">
        <v>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37"/>
  <sheetViews>
    <sheetView showGridLines="0" workbookViewId="0"/>
  </sheetViews>
  <sheetFormatPr defaultRowHeight="15"/>
  <cols>
    <col min="1" max="1" width="50.7109375" customWidth="1"/>
    <col min="2" max="2" width="9.7109375" customWidth="1"/>
    <col min="3" max="3" width="15.7109375" customWidth="1"/>
    <col min="4" max="4" width="56.7109375" customWidth="1"/>
  </cols>
  <sheetData>
    <row r="1" spans="1:4">
      <c r="A1" s="1" t="s">
        <v>603</v>
      </c>
    </row>
    <row r="2" spans="1:4">
      <c r="A2" s="9" t="s">
        <v>604</v>
      </c>
    </row>
    <row r="4" spans="1:4">
      <c r="A4" s="7" t="s">
        <v>605</v>
      </c>
      <c r="B4" s="9" t="s">
        <v>132</v>
      </c>
      <c r="C4" s="27">
        <f>EV_930</f>
        <v>2729.90324952916</v>
      </c>
      <c r="D4" s="9" t="s">
        <v>606</v>
      </c>
    </row>
    <row r="5" spans="1:4">
      <c r="A5" s="7" t="s">
        <v>607</v>
      </c>
      <c r="B5" s="9" t="s">
        <v>132</v>
      </c>
      <c r="C5" s="27">
        <f>FS_Hist!$J$24</f>
        <v>0.0</v>
      </c>
      <c r="D5" s="9" t="s">
        <v>608</v>
      </c>
    </row>
    <row r="6" spans="1:4">
      <c r="A6" s="7" t="s">
        <v>609</v>
      </c>
      <c r="B6" s="9" t="s">
        <v>132</v>
      </c>
      <c r="C6" s="27">
        <f>FS_Hist!$J$25</f>
        <v>55.459414</v>
      </c>
      <c r="D6" s="9" t="s">
        <v>610</v>
      </c>
    </row>
    <row r="7" spans="1:4">
      <c r="A7" s="7" t="s">
        <v>611</v>
      </c>
      <c r="B7" s="9" t="s">
        <v>132</v>
      </c>
      <c r="C7" s="27">
        <f>SUMIFS(BsAmt,BsClass,"cash_like")</f>
        <v>1111.450347</v>
      </c>
      <c r="D7" s="9" t="s">
        <v>612</v>
      </c>
    </row>
    <row r="8" spans="1:4">
      <c r="A8" s="7" t="s">
        <v>613</v>
      </c>
      <c r="B8" s="9" t="s">
        <v>132</v>
      </c>
      <c r="C8" s="40">
        <f>C5+C6-C7</f>
        <v>-1055.990933</v>
      </c>
    </row>
    <row r="9" spans="1:4">
      <c r="A9" s="7" t="s">
        <v>614</v>
      </c>
      <c r="B9" s="9" t="s">
        <v>132</v>
      </c>
      <c r="C9" s="27">
        <f>SUMIFS(BsAmt,BsClass,"non_operating")+SotpRemainder+SotpListed*(1-SubDiscount)+SotpUnlisted+AssocLines+AssocValue-AssocReplaced</f>
        <v>235050.33689699997</v>
      </c>
      <c r="D9" s="9" t="s">
        <v>615</v>
      </c>
    </row>
    <row r="10" spans="1:4">
      <c r="A10" s="7" t="s">
        <v>616</v>
      </c>
      <c r="B10" s="9" t="s">
        <v>132</v>
      </c>
      <c r="C10" s="27">
        <f>SUMPRODUCT(ISNUMBER(SEARCH("기타금융자산",BsName))*BsAmt)</f>
        <v>0.0</v>
      </c>
      <c r="D10" s="9" t="s">
        <v>617</v>
      </c>
    </row>
    <row r="11" spans="1:4">
      <c r="A11" s="7" t="s">
        <v>618</v>
      </c>
      <c r="B11" s="9" t="s">
        <v>132</v>
      </c>
      <c r="C11" s="27">
        <f>SUMIFS(BsAmt,BsClass,"sub_inv")</f>
        <v>70894.005697</v>
      </c>
      <c r="D11" s="9" t="s">
        <v>619</v>
      </c>
    </row>
    <row r="12" spans="1:4">
      <c r="A12" s="7" t="s">
        <v>620</v>
      </c>
      <c r="B12" s="9" t="s">
        <v>132</v>
      </c>
      <c r="C12" s="27">
        <f>SUM(SubBook)</f>
        <v>51166.0</v>
      </c>
      <c r="D12" s="9" t="s">
        <v>621</v>
      </c>
    </row>
    <row r="13" spans="1:4">
      <c r="A13" s="7" t="s">
        <v>622</v>
      </c>
      <c r="B13" s="9" t="s">
        <v>132</v>
      </c>
      <c r="C13" s="40">
        <f>MAX(C11-C12,0)</f>
        <v>19728.005697</v>
      </c>
      <c r="D13" s="9" t="s">
        <v>623</v>
      </c>
    </row>
    <row r="14" spans="1:4">
      <c r="A14" s="7" t="s">
        <v>624</v>
      </c>
      <c r="B14" s="9" t="s">
        <v>132</v>
      </c>
      <c r="C14" s="27">
        <f>SUMPRODUCT(SubShares,SubClose,SubListedDirect)/MnToWon</f>
        <v>142764.0</v>
      </c>
      <c r="D14" s="9" t="s">
        <v>625</v>
      </c>
    </row>
    <row r="15" spans="1:4">
      <c r="A15" s="7" t="s">
        <v>626</v>
      </c>
      <c r="C15" s="30">
        <f>SubDiscount</f>
        <v>0.3</v>
      </c>
      <c r="D15" s="9" t="s">
        <v>627</v>
      </c>
    </row>
    <row r="16" spans="1:4">
      <c r="A16" s="7" t="s">
        <v>628</v>
      </c>
      <c r="B16" s="9" t="s">
        <v>132</v>
      </c>
      <c r="C16" s="27">
        <f>SUMPRODUCT(SubBook,SubUnlisted)</f>
        <v>29988.0</v>
      </c>
      <c r="D16" s="9" t="s">
        <v>621</v>
      </c>
    </row>
    <row r="17" spans="1:4">
      <c r="A17" s="7" t="s">
        <v>629</v>
      </c>
      <c r="B17" s="9" t="s">
        <v>132</v>
      </c>
      <c r="C17" s="27">
        <f>SUMIFS(BsAmt,BsClass,"nonop_assoc")</f>
        <v>13228.925353</v>
      </c>
      <c r="D17" s="9" t="s">
        <v>630</v>
      </c>
    </row>
    <row r="18" spans="1:4">
      <c r="A18" s="7" t="s">
        <v>631</v>
      </c>
      <c r="B18" s="9" t="s">
        <v>132</v>
      </c>
      <c r="C18" s="27">
        <f>SUMPRODUCT(AssocShares,AssocClose)/MnToWon*(1-AssocDiscount)</f>
        <v>51936.0</v>
      </c>
      <c r="D18" s="9" t="s">
        <v>632</v>
      </c>
    </row>
    <row r="19" spans="1:4">
      <c r="A19" s="7" t="s">
        <v>633</v>
      </c>
      <c r="B19" s="9" t="s">
        <v>132</v>
      </c>
      <c r="C19" s="27">
        <f>IF(AssocLines&gt;0,MIN(AssocLines,SUM(AssocBook)),MIN(SotpRemainder,SUM(AssocBook)))</f>
        <v>12262.0</v>
      </c>
      <c r="D19" s="9" t="s">
        <v>634</v>
      </c>
    </row>
    <row r="20" spans="1:4">
      <c r="A20" s="7" t="s">
        <v>635</v>
      </c>
      <c r="B20" s="9" t="s">
        <v>132</v>
      </c>
      <c r="C20" s="27">
        <f>FS_Hist!$J$26</f>
        <v>0.0</v>
      </c>
      <c r="D20" s="9" t="s">
        <v>636</v>
      </c>
    </row>
    <row r="21" spans="1:4">
      <c r="A21" s="3" t="s">
        <v>637</v>
      </c>
      <c r="B21" s="9" t="s">
        <v>132</v>
      </c>
      <c r="C21" s="55">
        <f>C4-C8+C9-C20</f>
        <v>238836.23107952913</v>
      </c>
    </row>
    <row r="22" spans="1:4">
      <c r="A22" s="7" t="s">
        <v>638</v>
      </c>
      <c r="B22" s="9" t="s">
        <v>132</v>
      </c>
      <c r="C22" s="40">
        <f>C21-C4</f>
        <v>236106.32782999997</v>
      </c>
      <c r="D22" s="9" t="s">
        <v>639</v>
      </c>
    </row>
    <row r="23" spans="1:4">
      <c r="A23" s="7" t="s">
        <v>640</v>
      </c>
      <c r="B23" s="9" t="s">
        <v>132</v>
      </c>
      <c r="C23" s="40">
        <f>0</f>
        <v>0.0</v>
      </c>
      <c r="D23" s="9" t="s">
        <v>641</v>
      </c>
    </row>
    <row r="24" spans="1:4">
      <c r="A24" s="7" t="s">
        <v>642</v>
      </c>
      <c r="B24" s="9" t="s">
        <v>121</v>
      </c>
      <c r="C24" s="34">
        <f>(CommonIssued-CommonTreasury)+(PrefIssued-PrefTreasury)</f>
        <v>27345997.0</v>
      </c>
      <c r="D24" s="9" t="s">
        <v>643</v>
      </c>
    </row>
    <row r="25" spans="1:4">
      <c r="A25" s="3" t="s">
        <v>644</v>
      </c>
      <c r="B25" s="9" t="s">
        <v>129</v>
      </c>
      <c r="C25" s="56">
        <f>C21*MnToWon/Shares</f>
        <v>8733.86445114907</v>
      </c>
      <c r="D25" s="9" t="s">
        <v>645</v>
      </c>
    </row>
    <row r="26" spans="1:4">
      <c r="A26" s="7" t="s">
        <v>646</v>
      </c>
      <c r="C26" s="28">
        <f>PerShare/Close-1</f>
        <v>-0.5633067774425465</v>
      </c>
      <c r="D26" s="9" t="s">
        <v>647</v>
      </c>
    </row>
    <row r="27" spans="1:4">
      <c r="A27" s="7" t="s">
        <v>648</v>
      </c>
      <c r="B27" s="9" t="s">
        <v>132</v>
      </c>
      <c r="C27" s="27" t="str">
        <f>IF(ISNUMBER(EVExit_930),EVExit_930+BridgeAdj,"N/M")</f>
        <v>N/M</v>
      </c>
    </row>
    <row r="28" spans="1:4">
      <c r="A28" s="7" t="s">
        <v>649</v>
      </c>
      <c r="B28" s="9" t="s">
        <v>129</v>
      </c>
      <c r="C28" s="57" t="str">
        <f>IF(ISNUMBER(C27),C27*MnToWon/Shares,"N/M")</f>
        <v>N/M</v>
      </c>
    </row>
    <row r="29" spans="1:4">
      <c r="A29" s="7" t="s">
        <v>650</v>
      </c>
      <c r="B29" s="9" t="s">
        <v>129</v>
      </c>
      <c r="C29" s="57">
        <f>IF(FS_Hist!$J$27&lt;&gt;0,FS_Hist!$J$27,FS_Hist!$J$28-FS_Hist!$J$26)*MnToWon/Shares</f>
        <v>4357.63547845778</v>
      </c>
      <c r="D29" s="9" t="s">
        <v>651</v>
      </c>
    </row>
    <row r="31" spans="1:4">
      <c r="A31" s="11" t="s">
        <v>652</v>
      </c>
    </row>
    <row r="32" spans="1:4">
      <c r="A32" s="7" t="s">
        <v>653</v>
      </c>
      <c r="B32" s="9" t="s">
        <v>132</v>
      </c>
      <c r="C32" s="27">
        <f>Close*(CommonIssued-CommonTreasury+PrefIssued-PrefTreasury)/MnToWon</f>
        <v>546919.94</v>
      </c>
    </row>
    <row r="33" spans="1:4">
      <c r="A33" s="7" t="s">
        <v>654</v>
      </c>
      <c r="B33" s="9" t="s">
        <v>132</v>
      </c>
      <c r="C33" s="27">
        <f>IF(ListedSub=1,(1-Stake)*SubMC,C20)</f>
        <v>0.0</v>
      </c>
    </row>
    <row r="34" spans="1:4">
      <c r="A34" s="7" t="s">
        <v>655</v>
      </c>
      <c r="C34" s="29">
        <f>C33/C32</f>
        <v>0.0</v>
      </c>
    </row>
    <row r="35" spans="1:4">
      <c r="A35" s="7" t="s">
        <v>656</v>
      </c>
      <c r="C35" s="28">
        <f>SegMarginGap</f>
        <v>0.0</v>
      </c>
    </row>
    <row r="36" spans="1:4">
      <c r="A36" s="7" t="s">
        <v>657</v>
      </c>
      <c r="C36" s="28">
        <f>SegGrowthGap</f>
        <v>0.0</v>
      </c>
    </row>
    <row r="37" spans="1:4">
      <c r="A37" s="3" t="s">
        <v>658</v>
      </c>
      <c r="C37" s="6" t="str">
        <f>IF(OR(C34&gt;=NciShareMin,AND(ListedSub=1,OR(C35&gt;=MarginGapMin,C36&gt;=GrowthGapMin))),"sotp","consolidated")</f>
        <v>consolidated</v>
      </c>
      <c r="D37" s="9" t="s">
        <v>659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N20"/>
  <sheetViews>
    <sheetView showGridLines="0" workbookViewId="0"/>
  </sheetViews>
  <sheetFormatPr defaultRowHeight="15"/>
  <cols>
    <col min="1" max="1" width="16.7109375" customWidth="1"/>
    <col min="2" max="2" width="9.7109375" customWidth="1"/>
    <col min="3" max="3" width="6.7109375" customWidth="1"/>
    <col min="4" max="28" width="11.7109375" customWidth="1"/>
  </cols>
  <sheetData>
    <row r="1" spans="1:14">
      <c r="A1" s="1" t="s">
        <v>676</v>
      </c>
    </row>
    <row r="2" spans="1:14">
      <c r="A2" s="9" t="s">
        <v>677</v>
      </c>
    </row>
    <row r="3" spans="1:14">
      <c r="A3" s="9" t="s">
        <v>678</v>
      </c>
    </row>
    <row r="5" spans="1:14">
      <c r="A5" s="11" t="s">
        <v>679</v>
      </c>
    </row>
    <row r="6" spans="1:14">
      <c r="A6" s="7" t="s">
        <v>680</v>
      </c>
      <c r="B6" s="9" t="s">
        <v>132</v>
      </c>
      <c r="C6" s="27">
        <f>FS_Hist!$H$8+FS_Hist!$J$8-FS_Hist!$I$8</f>
        <v>2787.7031040000006</v>
      </c>
    </row>
    <row r="7" spans="1:14">
      <c r="A7" s="7" t="s">
        <v>681</v>
      </c>
      <c r="B7" s="9" t="s">
        <v>132</v>
      </c>
      <c r="C7" s="27">
        <f>FS_Hist!$H$10+FS_Hist!$J$10-FS_Hist!$I$10</f>
        <v>-2826.64858</v>
      </c>
    </row>
    <row r="8" spans="1:14">
      <c r="A8" s="7" t="s">
        <v>682</v>
      </c>
      <c r="B8" s="9" t="s">
        <v>132</v>
      </c>
      <c r="C8" s="27">
        <f>IF(OR(FS_Hist!$H$17=0,FS_Hist!$H$16/FS_Hist!$H$8&lt;DnaRatioLo,FS_Hist!$H$16/FS_Hist!$H$8&gt;DnaRatioHi),"N/M",IF(AND(FS_Hist!$J$17&lt;&gt;0,FS_Hist!$I$17&lt;&gt;0,FS_Hist!$J$16/FS_Hist!$H$16&gt;=DnaH1Lo,FS_Hist!$J$16/FS_Hist!$H$16&lt;=DnaH1Hi,FS_Hist!$I$16/FS_Hist!$H$16&gt;=DnaH1Lo,FS_Hist!$I$16/FS_Hist!$H$16&lt;=DnaH1Hi),FS_Hist!$H$16+FS_Hist!$J$16-FS_Hist!$I$16,FS_Hist!$H$16))</f>
        <v>136.921</v>
      </c>
    </row>
    <row r="9" spans="1:14">
      <c r="A9" s="7" t="s">
        <v>683</v>
      </c>
      <c r="B9" s="9" t="s">
        <v>132</v>
      </c>
      <c r="C9" s="40">
        <f>IF(ISNUMBER(C8),C7+C8,"N/M")</f>
        <v>-2689.72758</v>
      </c>
    </row>
    <row r="10" spans="1:14">
      <c r="A10" s="7" t="s">
        <v>684</v>
      </c>
      <c r="B10" s="9" t="s">
        <v>132</v>
      </c>
      <c r="C10" s="27">
        <f>IF((FS_Hist!$H$13+FS_Hist!$J$13-FS_Hist!$I$13)&lt;&gt;0,FS_Hist!$H$13+FS_Hist!$J$13-FS_Hist!$I$13,FS_Hist!$H$12+FS_Hist!$J$12-FS_Hist!$I$12)</f>
        <v>-5457.383808</v>
      </c>
    </row>
    <row r="11" spans="1:14">
      <c r="A11" s="7" t="s">
        <v>685</v>
      </c>
      <c r="B11" s="9" t="s">
        <v>132</v>
      </c>
      <c r="C11" s="27">
        <f>IF(FS_Hist!$J$27&lt;&gt;0,FS_Hist!$J$27,FS_Hist!$J$28-FS_Hist!$J$26)</f>
        <v>119163.886721</v>
      </c>
    </row>
    <row r="13" spans="1:14">
      <c r="A13" s="11" t="s">
        <v>686</v>
      </c>
    </row>
    <row r="14" spans="1:14">
      <c r="A14" s="10" t="s">
        <v>296</v>
      </c>
      <c r="B14" s="10" t="s">
        <v>235</v>
      </c>
      <c r="C14" s="10" t="s">
        <v>297</v>
      </c>
      <c r="D14" s="10" t="s">
        <v>298</v>
      </c>
      <c r="E14" s="10" t="s">
        <v>299</v>
      </c>
      <c r="F14" s="10" t="s">
        <v>300</v>
      </c>
      <c r="G14" s="10" t="s">
        <v>687</v>
      </c>
      <c r="H14" s="10" t="s">
        <v>688</v>
      </c>
      <c r="I14" s="10" t="s">
        <v>689</v>
      </c>
      <c r="J14" s="10" t="s">
        <v>690</v>
      </c>
      <c r="K14" s="10" t="s">
        <v>691</v>
      </c>
      <c r="L14" s="10" t="s">
        <v>692</v>
      </c>
      <c r="M14" s="10" t="s">
        <v>693</v>
      </c>
      <c r="N14" s="10" t="s">
        <v>694</v>
      </c>
    </row>
    <row r="15" spans="1:14">
      <c r="A15" s="3" t="s">
        <v>301</v>
      </c>
      <c r="C15" s="34">
        <f>Inputs!B145</f>
        <v>3.0</v>
      </c>
      <c r="D15" s="53" t="str">
        <f>IF(OR(C15=0,NOT(ISNUMBER(Inputs!C145))),"N/M",Inputs!C145)</f>
        <v>N/M</v>
      </c>
      <c r="E15" s="53" t="str">
        <f>IF(OR(C15=0,NOT(ISNUMBER(Inputs!D145))),"N/M",Inputs!D145)</f>
        <v>N/M</v>
      </c>
      <c r="F15" s="53" t="str">
        <f>IF(OR(C15=0,NOT(ISNUMBER(Inputs!E145))),"N/M",Inputs!E145)</f>
        <v>N/M</v>
      </c>
      <c r="G15" s="40">
        <f>C9</f>
        <v>-2689.72758</v>
      </c>
      <c r="H15" s="57" t="str">
        <f>IF(OR(C15=0,NOT(ISNUMBER(D15)),NOT(ISNUMBER(G15)),N(G15)&lt;=0),"N/M",(D15*G15+BridgeAdj)*MnToWon/Shares)</f>
        <v>N/M</v>
      </c>
      <c r="I15" s="57" t="str">
        <f>IF(OR(C15=0,NOT(ISNUMBER(E15)),NOT(ISNUMBER(G15)),N(G15)&lt;=0),"N/M",(E15*G15+BridgeAdj)*MnToWon/Shares)</f>
        <v>N/M</v>
      </c>
      <c r="J15" s="57" t="str">
        <f>IF(OR(C15=0,NOT(ISNUMBER(F15)),NOT(ISNUMBER(G15)),N(G15)&lt;=0),"N/M",(F15*G15+BridgeAdj)*MnToWon/Shares)</f>
        <v>N/M</v>
      </c>
      <c r="K15" s="5" t="str">
        <f>IF(C15&lt;PeerNWarn,"n&lt;"&amp;PeerNWarn,"")</f>
        <v>n&lt;5</v>
      </c>
      <c r="L15" s="58" t="s">
        <v>695</v>
      </c>
      <c r="M15" s="58" t="s">
        <v>695</v>
      </c>
      <c r="N15" s="58" t="s">
        <v>695</v>
      </c>
    </row>
    <row r="16" spans="1:14">
      <c r="A16" s="3" t="s">
        <v>303</v>
      </c>
      <c r="C16" s="34">
        <f>Inputs!B146</f>
        <v>3.0</v>
      </c>
      <c r="D16" s="53" t="str">
        <f>IF(OR(C16=0,NOT(ISNUMBER(Inputs!C146))),"N/M",Inputs!C146)</f>
        <v>N/M</v>
      </c>
      <c r="E16" s="53" t="str">
        <f>IF(OR(C16=0,NOT(ISNUMBER(Inputs!D146))),"N/M",Inputs!D146)</f>
        <v>N/M</v>
      </c>
      <c r="F16" s="53" t="str">
        <f>IF(OR(C16=0,NOT(ISNUMBER(Inputs!E146))),"N/M",Inputs!E146)</f>
        <v>N/M</v>
      </c>
      <c r="G16" s="40">
        <f>C9</f>
        <v>-2689.72758</v>
      </c>
      <c r="H16" s="57" t="str">
        <f>IF(OR(C16=0,NOT(ISNUMBER(D16)),NOT(ISNUMBER(G16)),N(G16)&lt;=0),"N/M",(D16*G16+BridgeAdj)*MnToWon/Shares)</f>
        <v>N/M</v>
      </c>
      <c r="I16" s="57" t="str">
        <f>IF(OR(C16=0,NOT(ISNUMBER(E16)),NOT(ISNUMBER(G16)),N(G16)&lt;=0),"N/M",(E16*G16+BridgeAdj)*MnToWon/Shares)</f>
        <v>N/M</v>
      </c>
      <c r="J16" s="57" t="str">
        <f>IF(OR(C16=0,NOT(ISNUMBER(F16)),NOT(ISNUMBER(G16)),N(G16)&lt;=0),"N/M",(F16*G16+BridgeAdj)*MnToWon/Shares)</f>
        <v>N/M</v>
      </c>
      <c r="K16" s="5" t="str">
        <f>IF(C16&lt;PeerNWarn,"n&lt;"&amp;PeerNWarn,"")</f>
        <v>n&lt;5</v>
      </c>
    </row>
    <row r="17" spans="1:14">
      <c r="A17" s="3" t="s">
        <v>304</v>
      </c>
      <c r="C17" s="34">
        <f>Inputs!B147</f>
        <v>3.0</v>
      </c>
      <c r="D17" s="53" t="str">
        <f>IF(OR(C17=0,NOT(ISNUMBER(Inputs!C147))),"N/M",Inputs!C147)</f>
        <v>N/M</v>
      </c>
      <c r="E17" s="53" t="str">
        <f>IF(OR(C17=0,NOT(ISNUMBER(Inputs!D147))),"N/M",Inputs!D147)</f>
        <v>N/M</v>
      </c>
      <c r="F17" s="53" t="str">
        <f>IF(OR(C17=0,NOT(ISNUMBER(Inputs!E147))),"N/M",Inputs!E147)</f>
        <v>N/M</v>
      </c>
      <c r="G17" s="40">
        <f>C6</f>
        <v>2787.7031040000006</v>
      </c>
      <c r="H17" s="57" t="str">
        <f>IF(OR(C17=0,NOT(ISNUMBER(D17)),NOT(ISNUMBER(G17)),N(G17)&lt;=0),"N/M",(D17*G17+BridgeAdj)*MnToWon/Shares)</f>
        <v>N/M</v>
      </c>
      <c r="I17" s="57" t="str">
        <f>IF(OR(C17=0,NOT(ISNUMBER(E17)),NOT(ISNUMBER(G17)),N(G17)&lt;=0),"N/M",(E17*G17+BridgeAdj)*MnToWon/Shares)</f>
        <v>N/M</v>
      </c>
      <c r="J17" s="57" t="str">
        <f>IF(OR(C17=0,NOT(ISNUMBER(F17)),NOT(ISNUMBER(G17)),N(G17)&lt;=0),"N/M",(F17*G17+BridgeAdj)*MnToWon/Shares)</f>
        <v>N/M</v>
      </c>
      <c r="K17" s="5" t="str">
        <f>IF(C17&lt;PeerNWarn,"n&lt;"&amp;PeerNWarn,"")</f>
        <v>n&lt;5</v>
      </c>
      <c r="L17" s="58" t="s">
        <v>695</v>
      </c>
      <c r="M17" s="58" t="s">
        <v>695</v>
      </c>
      <c r="N17" s="58" t="s">
        <v>695</v>
      </c>
    </row>
    <row r="18" spans="1:14">
      <c r="A18" s="3" t="s">
        <v>305</v>
      </c>
      <c r="C18" s="34">
        <f>Inputs!B148</f>
        <v>6.0</v>
      </c>
      <c r="D18" s="53">
        <f>IF(OR(C18=0,NOT(ISNUMBER(Inputs!C148))),"N/M",Inputs!C148)</f>
        <v>0.466496469195368</v>
      </c>
      <c r="E18" s="53">
        <f>IF(OR(C18=0,NOT(ISNUMBER(Inputs!D148))),"N/M",Inputs!D148)</f>
        <v>0.588885373715702</v>
      </c>
      <c r="F18" s="53">
        <f>IF(OR(C18=0,NOT(ISNUMBER(Inputs!E148))),"N/M",Inputs!E148)</f>
        <v>0.964790070237074</v>
      </c>
      <c r="G18" s="40">
        <f>C11</f>
        <v>119163.886721</v>
      </c>
      <c r="H18" s="57">
        <f>IF(OR(C18=0,NOT(ISNUMBER(D18)),NOT(ISNUMBER(G18)),N(G18)&lt;=0),"N/M",(D18*G18+EqAddOn)*MnToWon/Shares)</f>
        <v>2032.8215647410225</v>
      </c>
      <c r="I18" s="57">
        <f>IF(OR(C18=0,NOT(ISNUMBER(E18)),NOT(ISNUMBER(G18)),N(G18)&lt;=0),"N/M",(E18*G18+EqAddOn)*MnToWon/Shares)</f>
        <v>2566.1477972484117</v>
      </c>
      <c r="J18" s="57">
        <f>IF(OR(C18=0,NOT(ISNUMBER(F18)),NOT(ISNUMBER(G18)),N(G18)&lt;=0),"N/M",(F18*G18+EqAddOn)*MnToWon/Shares)</f>
        <v>4204.203439328847</v>
      </c>
      <c r="K18" s="5">
        <f>IF(C18&lt;PeerNWarn,"n&lt;"&amp;PeerNWarn,"")</f>
        <v/>
      </c>
      <c r="L18" s="58">
        <v>2032.82156474102</v>
      </c>
      <c r="M18" s="58">
        <v>2566.147797248409</v>
      </c>
      <c r="N18" s="58">
        <v>4204.203439328847</v>
      </c>
    </row>
    <row r="19" spans="1:14">
      <c r="A19" s="3" t="s">
        <v>306</v>
      </c>
      <c r="C19" s="34">
        <f>Inputs!B149</f>
        <v>5.0</v>
      </c>
      <c r="D19" s="53">
        <f>IF(OR(C19=0,NOT(ISNUMBER(Inputs!C149))),"N/M",Inputs!C149)</f>
        <v>5.259098198650557</v>
      </c>
      <c r="E19" s="53">
        <f>IF(OR(C19=0,NOT(ISNUMBER(Inputs!D149))),"N/M",Inputs!D149)</f>
        <v>7.648217882532227</v>
      </c>
      <c r="F19" s="53">
        <f>IF(OR(C19=0,NOT(ISNUMBER(Inputs!E149))),"N/M",Inputs!E149)</f>
        <v>10.00650844019911</v>
      </c>
      <c r="G19" s="40">
        <f>C10</f>
        <v>-5457.383808</v>
      </c>
      <c r="H19" s="57" t="str">
        <f>IF(OR(C19=0,NOT(ISNUMBER(D19)),NOT(ISNUMBER(G19)),N(G19)&lt;=0),"N/M",(D19*G19+EqAddOn)*MnToWon/Shares)</f>
        <v>N/M</v>
      </c>
      <c r="I19" s="57" t="str">
        <f>IF(OR(C19=0,NOT(ISNUMBER(E19)),NOT(ISNUMBER(G19)),N(G19)&lt;=0),"N/M",(E19*G19+EqAddOn)*MnToWon/Shares)</f>
        <v>N/M</v>
      </c>
      <c r="J19" s="57" t="str">
        <f>IF(OR(C19=0,NOT(ISNUMBER(F19)),NOT(ISNUMBER(G19)),N(G19)&lt;=0),"N/M",(F19*G19+EqAddOn)*MnToWon/Shares)</f>
        <v>N/M</v>
      </c>
      <c r="K19" s="5">
        <f>IF(C19&lt;PeerNWarn,"n&lt;"&amp;PeerNWarn,"")</f>
        <v/>
      </c>
      <c r="L19" s="58" t="s">
        <v>695</v>
      </c>
      <c r="M19" s="58" t="s">
        <v>695</v>
      </c>
      <c r="N19" s="58" t="s">
        <v>695</v>
      </c>
    </row>
    <row r="20" spans="1:14">
      <c r="A20" s="9" t="s">
        <v>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F33"/>
  <sheetViews>
    <sheetView showGridLines="0" workbookViewId="0"/>
  </sheetViews>
  <sheetFormatPr defaultRowHeight="15"/>
  <cols>
    <col min="1" max="1" width="46.7109375" customWidth="1"/>
    <col min="2" max="2" width="9.7109375" customWidth="1"/>
    <col min="3" max="6" width="14.7109375" customWidth="1"/>
    <col min="7" max="7" width="40.7109375" customWidth="1"/>
  </cols>
  <sheetData>
    <row r="1" spans="1:6">
      <c r="A1" s="1" t="s">
        <v>697</v>
      </c>
    </row>
    <row r="2" spans="1:6">
      <c r="A2" s="9" t="s">
        <v>698</v>
      </c>
    </row>
    <row r="4" spans="1:6">
      <c r="A4" s="11" t="s">
        <v>699</v>
      </c>
    </row>
    <row r="5" spans="1:6">
      <c r="A5" s="7" t="s">
        <v>700</v>
      </c>
      <c r="C5" s="32">
        <f>Prem_Pct</f>
        <v>66.4</v>
      </c>
    </row>
    <row r="6" spans="1:6">
      <c r="A6" s="7" t="s">
        <v>188</v>
      </c>
      <c r="C6" s="5" t="str">
        <f>Prem_Market</f>
        <v>KOSDAQ</v>
      </c>
    </row>
    <row r="7" spans="1:6">
      <c r="A7" s="7" t="s">
        <v>701</v>
      </c>
      <c r="C7" s="34">
        <f>IF(Prem_CV&gt;=Prem_Thr,1,0)</f>
        <v>1.0</v>
      </c>
    </row>
    <row r="8" spans="1:6">
      <c r="A8" s="7" t="s">
        <v>702</v>
      </c>
      <c r="C8" s="28">
        <f>ABS(Prem_REG_q50-Prem_NEI_q50)</f>
        <v>0.0042705702377</v>
      </c>
    </row>
    <row r="9" spans="1:6">
      <c r="A9" s="7" t="s">
        <v>703</v>
      </c>
      <c r="C9" s="34">
        <f>IF(ABS(Prem_REG_q50-Prem_NEI_q50)&gt;Prem_GapWarn,1,0)</f>
        <v>0.0</v>
      </c>
    </row>
    <row r="10" spans="1:6">
      <c r="A10" s="3" t="s">
        <v>704</v>
      </c>
      <c r="C10" s="6" t="str">
        <f>IF(Prem_Market="KOSPI","neighbours",IF(Prem_Pct&gt;=Prem_TopBand,"neighbours",IF(C7=1,IF(C9=1,"neighbours","regression"),"band_table")))</f>
        <v>regression</v>
      </c>
      <c r="D10" s="9" t="s">
        <v>706</v>
      </c>
      <c r="E10" s="17" t="s">
        <v>707</v>
      </c>
    </row>
    <row r="11" spans="1:6">
      <c r="A11" s="3" t="s">
        <v>705</v>
      </c>
      <c r="C11" s="6" t="str">
        <f>IF(Prem_Market="KOSPI","rule_market",IF(Prem_Pct&gt;=Prem_TopBand,"rule_top_band",IF(C7=1,IF(C9=1,"warning","cv_adopted"),"cv_not_adopted")))</f>
        <v>cv_adopted</v>
      </c>
      <c r="E11" s="17" t="s">
        <v>708</v>
      </c>
    </row>
    <row r="12" spans="1:6">
      <c r="A12" s="9" t="s">
        <v>709</v>
      </c>
    </row>
    <row r="14" spans="1:6">
      <c r="A14" s="10" t="s">
        <v>710</v>
      </c>
      <c r="B14" s="10" t="s">
        <v>235</v>
      </c>
      <c r="C14" s="10" t="s">
        <v>298</v>
      </c>
      <c r="D14" s="10" t="s">
        <v>711</v>
      </c>
      <c r="E14" s="10" t="s">
        <v>300</v>
      </c>
      <c r="F14" s="10" t="s">
        <v>712</v>
      </c>
    </row>
    <row r="15" spans="1:6">
      <c r="A15" s="7" t="s">
        <v>713</v>
      </c>
      <c r="C15" s="28">
        <f>Prem_NEI_q25</f>
        <v>-0.082132401913925</v>
      </c>
      <c r="D15" s="28">
        <f>Prem_NEI_q50</f>
        <v>0.084419617858213</v>
      </c>
      <c r="E15" s="28">
        <f>Prem_NEI_q75</f>
        <v>0.308763849542738</v>
      </c>
      <c r="F15" s="34">
        <f>Prem_NB_n</f>
        <v>50.0</v>
      </c>
    </row>
    <row r="16" spans="1:6">
      <c r="A16" s="7" t="s">
        <v>714</v>
      </c>
      <c r="C16" s="28">
        <f>Prem_REG_q25</f>
        <v>-0.080474081742376</v>
      </c>
      <c r="D16" s="28">
        <f>Prem_REG_q50</f>
        <v>0.080149047620513</v>
      </c>
      <c r="E16" s="28">
        <f>Prem_REG_q75</f>
        <v>0.365403261588543</v>
      </c>
      <c r="F16" s="35" t="str">
        <f>"회귀"</f>
        <v>회귀</v>
      </c>
    </row>
    <row r="17" spans="1:6">
      <c r="A17" s="7" t="s">
        <v>715</v>
      </c>
      <c r="C17" s="28">
        <f>Prem_BAN_q25</f>
        <v>-0.092879495579176</v>
      </c>
      <c r="D17" s="28">
        <f>Prem_BAN_q50</f>
        <v>0.083969898076793</v>
      </c>
      <c r="E17" s="28">
        <f>Prem_BAN_q75</f>
        <v>0.403423327781508</v>
      </c>
      <c r="F17" s="34">
        <f>Prem_BAN_n</f>
        <v>77.0</v>
      </c>
    </row>
    <row r="18" spans="1:6">
      <c r="A18" s="3" t="s">
        <v>716</v>
      </c>
      <c r="C18" s="59">
        <f>IF(PremMethod="neighbours",C15,IF(PremMethod="regression",C16,C17))</f>
        <v>-0.080474081742376</v>
      </c>
      <c r="D18" s="59">
        <f>IF(PremMethod="neighbours",D15,IF(PremMethod="regression",D16,D17))</f>
        <v>0.080149047620513</v>
      </c>
      <c r="E18" s="59">
        <f>IF(PremMethod="neighbours",E15,IF(PremMethod="regression",E16,E17))</f>
        <v>0.365403261588543</v>
      </c>
      <c r="F18" s="35" t="str">
        <f>IF(PremMethod="neighbours",F15,IF(PremMethod="band_table",F17,"회귀"))</f>
        <v>회귀</v>
      </c>
    </row>
    <row r="20" spans="1:6">
      <c r="A20" s="11" t="s">
        <v>717</v>
      </c>
    </row>
    <row r="21" spans="1:6">
      <c r="A21" s="7" t="s">
        <v>718</v>
      </c>
      <c r="B21" s="9" t="s">
        <v>129</v>
      </c>
      <c r="C21" s="57">
        <f>VWAP20</f>
        <v>19800.0</v>
      </c>
    </row>
    <row r="22" spans="1:6">
      <c r="A22" s="7" t="s">
        <v>719</v>
      </c>
      <c r="B22" s="9" t="s">
        <v>129</v>
      </c>
      <c r="C22" s="57">
        <f>Close</f>
        <v>20000.0</v>
      </c>
    </row>
    <row r="23" spans="1:6">
      <c r="A23" s="7" t="s">
        <v>720</v>
      </c>
      <c r="B23" s="9" t="s">
        <v>129</v>
      </c>
      <c r="C23" s="57">
        <f>IF(ISNUMBER(PremQ1),VWAP20*(1+PremQ1),"N/M")</f>
        <v>18206.613181500954</v>
      </c>
      <c r="D23" s="9" t="s">
        <v>723</v>
      </c>
      <c r="E23" s="58">
        <v>18206.61318150095</v>
      </c>
    </row>
    <row r="24" spans="1:6">
      <c r="A24" s="3" t="s">
        <v>721</v>
      </c>
      <c r="B24" s="9" t="s">
        <v>129</v>
      </c>
      <c r="C24" s="56">
        <f>IF(ISNUMBER(PremQ2),VWAP20*(1+PremQ2),"N/M")</f>
        <v>21386.951142886155</v>
      </c>
      <c r="D24" s="9" t="s">
        <v>723</v>
      </c>
      <c r="E24" s="58">
        <v>21386.95114288616</v>
      </c>
    </row>
    <row r="25" spans="1:6">
      <c r="A25" s="7" t="s">
        <v>722</v>
      </c>
      <c r="B25" s="9" t="s">
        <v>129</v>
      </c>
      <c r="C25" s="57">
        <f>IF(ISNUMBER(PremQ3),VWAP20*(1+PremQ3),"N/M")</f>
        <v>27034.98457945315</v>
      </c>
      <c r="D25" s="9" t="s">
        <v>723</v>
      </c>
      <c r="E25" s="58">
        <v>27034.98457945315</v>
      </c>
    </row>
    <row r="27" spans="1:6">
      <c r="A27" s="11" t="s">
        <v>724</v>
      </c>
    </row>
    <row r="28" spans="1:6">
      <c r="A28" s="7" t="s">
        <v>725</v>
      </c>
      <c r="B28" s="9" t="s">
        <v>129</v>
      </c>
      <c r="C28" s="57">
        <f>VWAP20*(1+TaxPrem)</f>
        <v>23760.0</v>
      </c>
    </row>
    <row r="29" spans="1:6">
      <c r="A29" s="7" t="s">
        <v>726</v>
      </c>
      <c r="B29" s="9" t="s">
        <v>129</v>
      </c>
      <c r="C29" s="57">
        <f>Close*(1+TaxPrem)</f>
        <v>24000.0</v>
      </c>
    </row>
    <row r="30" spans="1:6">
      <c r="A30" s="7" t="s">
        <v>727</v>
      </c>
      <c r="B30" s="9" t="s">
        <v>129</v>
      </c>
      <c r="C30" s="57">
        <f>VWAP20</f>
        <v>19800.0</v>
      </c>
    </row>
    <row r="31" spans="1:6">
      <c r="A31" s="9" t="s">
        <v>728</v>
      </c>
    </row>
    <row r="33" spans="1:1">
      <c r="A33" s="9" t="s">
        <v>729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2E75B6"/>
  </sheetPr>
  <dimension ref="A1:T138"/>
  <sheetViews>
    <sheetView showGridLines="0" workbookViewId="0"/>
  </sheetViews>
  <sheetFormatPr defaultRowHeight="15"/>
  <cols>
    <col min="1" max="1" width="30.7109375" customWidth="1"/>
    <col min="2" max="20" width="12.7109375" customWidth="1"/>
  </cols>
  <sheetData>
    <row r="1" spans="1:8">
      <c r="A1" s="1" t="s">
        <v>730</v>
      </c>
    </row>
    <row r="2" spans="1:8">
      <c r="A2" s="9" t="s">
        <v>731</v>
      </c>
    </row>
    <row r="4" spans="1:8">
      <c r="A4" s="11" t="s">
        <v>732</v>
      </c>
    </row>
    <row r="5" spans="1:8">
      <c r="A5" s="10" t="s">
        <v>733</v>
      </c>
      <c r="B5" s="30">
        <f>SRP_1</f>
        <v>0.0</v>
      </c>
      <c r="C5" s="30">
        <f>SRP_2</f>
        <v>0.01</v>
      </c>
      <c r="D5" s="30">
        <f>SRP_3</f>
        <v>0.02</v>
      </c>
      <c r="F5" s="10" t="s">
        <v>734</v>
      </c>
    </row>
    <row r="6" spans="1:8">
      <c r="A6" s="7" t="s">
        <v>265</v>
      </c>
      <c r="B6" s="57">
        <f>Scen_Calc!$C$47</f>
        <v>8702.440593663363</v>
      </c>
      <c r="C6" s="57">
        <f>Scen_Calc!$C$60</f>
        <v>8695.786603291956</v>
      </c>
      <c r="D6" s="57">
        <f>Scen_Calc!$C$73</f>
        <v>8690.328172529382</v>
      </c>
      <c r="F6" s="28">
        <f>B6/Close-1</f>
        <v>-0.5648779703168318</v>
      </c>
      <c r="G6" s="28">
        <f>C6/Close-1</f>
        <v>-0.5652106698354022</v>
      </c>
      <c r="H6" s="28">
        <f>D6/Close-1</f>
        <v>-0.5654835913735309</v>
      </c>
    </row>
    <row r="7" spans="1:8">
      <c r="A7" s="7" t="s">
        <v>11</v>
      </c>
      <c r="B7" s="57">
        <f>Scen_Calc!$C$120</f>
        <v>8733.86445114907</v>
      </c>
      <c r="C7" s="57">
        <f>Scen_Calc!$C$133</f>
        <v>8724.324976387043</v>
      </c>
      <c r="D7" s="57">
        <f>Scen_Calc!$C$146</f>
        <v>8716.493142480786</v>
      </c>
      <c r="F7" s="28">
        <f>B7/Close-1</f>
        <v>-0.5633067774425465</v>
      </c>
      <c r="G7" s="28">
        <f>C7/Close-1</f>
        <v>-0.5637837511806478</v>
      </c>
      <c r="H7" s="28">
        <f>D7/Close-1</f>
        <v>-0.5641753428759607</v>
      </c>
    </row>
    <row r="8" spans="1:8">
      <c r="A8" s="7" t="s">
        <v>266</v>
      </c>
      <c r="B8" s="57">
        <f>Scen_Calc!$C$193</f>
        <v>8767.506543663274</v>
      </c>
      <c r="C8" s="57">
        <f>Scen_Calc!$C$206</f>
        <v>8754.832997861162</v>
      </c>
      <c r="D8" s="57">
        <f>Scen_Calc!$C$219</f>
        <v>8744.426073758972</v>
      </c>
      <c r="F8" s="28">
        <f>B8/Close-1</f>
        <v>-0.5616246728168364</v>
      </c>
      <c r="G8" s="28">
        <f>C8/Close-1</f>
        <v>-0.5622583501069419</v>
      </c>
      <c r="H8" s="28">
        <f>D8/Close-1</f>
        <v>-0.5627786963120514</v>
      </c>
    </row>
    <row r="10" spans="1:8">
      <c r="A10" s="11" t="s">
        <v>735</v>
      </c>
    </row>
    <row r="11" spans="1:8">
      <c r="A11" s="10" t="s">
        <v>733</v>
      </c>
      <c r="B11" s="30">
        <f>SRP_1</f>
        <v>0.0</v>
      </c>
      <c r="C11" s="30">
        <f>SRP_2</f>
        <v>0.01</v>
      </c>
      <c r="D11" s="30">
        <f>SRP_3</f>
        <v>0.02</v>
      </c>
    </row>
    <row r="12" spans="1:8">
      <c r="A12" s="7" t="s">
        <v>265</v>
      </c>
      <c r="B12" s="45">
        <f>Scen_Calc!$C$38</f>
        <v>0.09212124321403853</v>
      </c>
      <c r="C12" s="45">
        <f>Scen_Calc!$C$51</f>
        <v>0.10207882733578563</v>
      </c>
      <c r="D12" s="45">
        <f>Scen_Calc!$C$64</f>
        <v>0.11203641145753274</v>
      </c>
    </row>
    <row r="13" spans="1:8">
      <c r="A13" s="7" t="s">
        <v>11</v>
      </c>
      <c r="B13" s="45">
        <f>Scen_Calc!$C$111</f>
        <v>0.09212124321403853</v>
      </c>
      <c r="C13" s="45">
        <f>Scen_Calc!$C$124</f>
        <v>0.10207882733578563</v>
      </c>
      <c r="D13" s="45">
        <f>Scen_Calc!$C$137</f>
        <v>0.11203641145753274</v>
      </c>
    </row>
    <row r="14" spans="1:8">
      <c r="A14" s="7" t="s">
        <v>266</v>
      </c>
      <c r="B14" s="45">
        <f>Scen_Calc!$C$184</f>
        <v>0.09212124321403853</v>
      </c>
      <c r="C14" s="45">
        <f>Scen_Calc!$C$197</f>
        <v>0.10207882733578563</v>
      </c>
      <c r="D14" s="45">
        <f>Scen_Calc!$C$210</f>
        <v>0.11203641145753274</v>
      </c>
    </row>
    <row r="16" spans="1:8">
      <c r="A16" s="11" t="s">
        <v>736</v>
      </c>
    </row>
    <row r="17" spans="1:4">
      <c r="A17" s="10" t="s">
        <v>733</v>
      </c>
      <c r="B17" s="30">
        <f>SRP_1</f>
        <v>0.0</v>
      </c>
      <c r="C17" s="30">
        <f>SRP_2</f>
        <v>0.01</v>
      </c>
      <c r="D17" s="30">
        <f>SRP_3</f>
        <v>0.02</v>
      </c>
    </row>
    <row r="18" spans="1:4">
      <c r="A18" s="7" t="s">
        <v>265</v>
      </c>
      <c r="B18" s="30">
        <f>Scen_Calc!$C$39</f>
        <v>0.09212124321403853</v>
      </c>
      <c r="C18" s="30">
        <f>Scen_Calc!$C$52</f>
        <v>0.10207882733578563</v>
      </c>
      <c r="D18" s="30">
        <f>Scen_Calc!$C$65</f>
        <v>0.11203641145753274</v>
      </c>
    </row>
    <row r="19" spans="1:4">
      <c r="A19" s="7" t="s">
        <v>11</v>
      </c>
      <c r="B19" s="30">
        <f>Scen_Calc!$C$112</f>
        <v>0.09212124321403853</v>
      </c>
      <c r="C19" s="30">
        <f>Scen_Calc!$C$125</f>
        <v>0.10207882733578563</v>
      </c>
      <c r="D19" s="30">
        <f>Scen_Calc!$C$138</f>
        <v>0.11203641145753274</v>
      </c>
    </row>
    <row r="20" spans="1:4">
      <c r="A20" s="7" t="s">
        <v>266</v>
      </c>
      <c r="B20" s="30">
        <f>Scen_Calc!$C$185</f>
        <v>0.09212124321403853</v>
      </c>
      <c r="C20" s="30">
        <f>Scen_Calc!$C$198</f>
        <v>0.10207882733578563</v>
      </c>
      <c r="D20" s="30">
        <f>Scen_Calc!$C$211</f>
        <v>0.11203641145753274</v>
      </c>
    </row>
    <row r="22" spans="1:4">
      <c r="A22" s="11" t="s">
        <v>737</v>
      </c>
    </row>
    <row r="23" spans="1:4">
      <c r="A23" s="10" t="s">
        <v>733</v>
      </c>
      <c r="B23" s="30">
        <f>SRP_1</f>
        <v>0.0</v>
      </c>
      <c r="C23" s="30">
        <f>SRP_2</f>
        <v>0.01</v>
      </c>
      <c r="D23" s="30">
        <f>SRP_3</f>
        <v>0.02</v>
      </c>
    </row>
    <row r="24" spans="1:4">
      <c r="A24" s="7" t="s">
        <v>265</v>
      </c>
      <c r="B24" s="28">
        <f>Scen_Calc!$C$48</f>
        <v>0.3516259566107784</v>
      </c>
      <c r="C24" s="28">
        <f>Scen_Calc!$C$61</f>
        <v>0.31024024452248933</v>
      </c>
      <c r="D24" s="28">
        <f>Scen_Calc!$C$74</f>
        <v>0.27397113788453487</v>
      </c>
    </row>
    <row r="25" spans="1:4">
      <c r="A25" s="7" t="s">
        <v>11</v>
      </c>
      <c r="B25" s="28">
        <f>Scen_Calc!$C$121</f>
        <v>0.3439592359162124</v>
      </c>
      <c r="C25" s="28">
        <f>Scen_Calc!$C$134</f>
        <v>0.3029002840813839</v>
      </c>
      <c r="D25" s="28">
        <f>Scen_Calc!$C$147</f>
        <v>0.26700510860596505</v>
      </c>
    </row>
    <row r="26" spans="1:4">
      <c r="A26" s="7" t="s">
        <v>266</v>
      </c>
      <c r="B26" s="28">
        <f>Scen_Calc!$C$194</f>
        <v>0.34149812898156157</v>
      </c>
      <c r="C26" s="28">
        <f>Scen_Calc!$C$207</f>
        <v>0.30053198215811894</v>
      </c>
      <c r="D26" s="28">
        <f>Scen_Calc!$C$220</f>
        <v>0.26474650260806887</v>
      </c>
    </row>
    <row r="28" spans="1:4">
      <c r="A28" s="3" t="s">
        <v>738</v>
      </c>
      <c r="C28" s="57">
        <f>INDEX(ScenGridPS,ScenIdx,MATCH(SRP_Sel,SRP_List,0))</f>
        <v>8733.86445114907</v>
      </c>
      <c r="D28" s="9" t="s">
        <v>739</v>
      </c>
    </row>
    <row r="30" spans="1:4">
      <c r="A30" s="11" t="s">
        <v>740</v>
      </c>
    </row>
    <row r="31" spans="1:4">
      <c r="A31" s="10" t="s">
        <v>741</v>
      </c>
      <c r="B31" s="18">
        <v>0</v>
      </c>
      <c r="C31" s="18">
        <v>0.01</v>
      </c>
      <c r="D31" s="18">
        <v>0.02</v>
      </c>
    </row>
    <row r="32" spans="1:4">
      <c r="A32" s="7" t="s">
        <v>265</v>
      </c>
      <c r="B32" s="58">
        <v>8702.440593663363</v>
      </c>
      <c r="C32" s="58">
        <v>8695.786603291956</v>
      </c>
      <c r="D32" s="58">
        <v>8690.328172529382</v>
      </c>
    </row>
    <row r="33" spans="1:4">
      <c r="A33" s="7" t="s">
        <v>11</v>
      </c>
      <c r="B33" s="58">
        <v>8733.864451149073</v>
      </c>
      <c r="C33" s="58">
        <v>8724.324976387044</v>
      </c>
      <c r="D33" s="58">
        <v>8716.493142480786</v>
      </c>
    </row>
    <row r="34" spans="1:4">
      <c r="A34" s="7" t="s">
        <v>266</v>
      </c>
      <c r="B34" s="58">
        <v>8767.506543663276</v>
      </c>
      <c r="C34" s="58">
        <v>8754.832997861162</v>
      </c>
      <c r="D34" s="58">
        <v>8744.426073758972</v>
      </c>
    </row>
    <row r="36" spans="1:4">
      <c r="A36" s="10" t="s">
        <v>742</v>
      </c>
      <c r="B36" s="18">
        <v>0</v>
      </c>
      <c r="C36" s="18">
        <v>0.01</v>
      </c>
      <c r="D36" s="18">
        <v>0.02</v>
      </c>
    </row>
    <row r="37" spans="1:4">
      <c r="A37" s="7" t="s">
        <v>265</v>
      </c>
      <c r="B37" s="60">
        <v>0.09212124321403854</v>
      </c>
      <c r="C37" s="60">
        <v>0.1020788273357856</v>
      </c>
      <c r="D37" s="60">
        <v>0.1120364114575328</v>
      </c>
    </row>
    <row r="38" spans="1:4">
      <c r="A38" s="7" t="s">
        <v>11</v>
      </c>
      <c r="B38" s="60">
        <v>0.09212124321403854</v>
      </c>
      <c r="C38" s="60">
        <v>0.1020788273357856</v>
      </c>
      <c r="D38" s="60">
        <v>0.1120364114575328</v>
      </c>
    </row>
    <row r="39" spans="1:4">
      <c r="A39" s="7" t="s">
        <v>266</v>
      </c>
      <c r="B39" s="60">
        <v>0.09212124321403854</v>
      </c>
      <c r="C39" s="60">
        <v>0.1020788273357856</v>
      </c>
      <c r="D39" s="60">
        <v>0.1120364114575328</v>
      </c>
    </row>
    <row r="41" spans="1:4">
      <c r="A41" s="10" t="s">
        <v>743</v>
      </c>
      <c r="B41" s="18">
        <v>0</v>
      </c>
      <c r="C41" s="18">
        <v>0.01</v>
      </c>
      <c r="D41" s="18">
        <v>0.02</v>
      </c>
    </row>
    <row r="42" spans="1:4">
      <c r="A42" s="7" t="s">
        <v>265</v>
      </c>
      <c r="B42" s="18">
        <v>0.09212124321403854</v>
      </c>
      <c r="C42" s="18">
        <v>0.1020788273357856</v>
      </c>
      <c r="D42" s="18">
        <v>0.1120364114575328</v>
      </c>
    </row>
    <row r="43" spans="1:4">
      <c r="A43" s="7" t="s">
        <v>11</v>
      </c>
      <c r="B43" s="18">
        <v>0.09212124321403854</v>
      </c>
      <c r="C43" s="18">
        <v>0.1020788273357856</v>
      </c>
      <c r="D43" s="18">
        <v>0.1120364114575328</v>
      </c>
    </row>
    <row r="44" spans="1:4">
      <c r="A44" s="7" t="s">
        <v>266</v>
      </c>
      <c r="B44" s="18">
        <v>0.09212124321403854</v>
      </c>
      <c r="C44" s="18">
        <v>0.1020788273357856</v>
      </c>
      <c r="D44" s="18">
        <v>0.1120364114575328</v>
      </c>
    </row>
    <row r="46" spans="1:4">
      <c r="A46" s="10" t="s">
        <v>744</v>
      </c>
      <c r="B46" s="18">
        <v>0</v>
      </c>
      <c r="C46" s="18">
        <v>0.01</v>
      </c>
      <c r="D46" s="18">
        <v>0.02</v>
      </c>
    </row>
    <row r="47" spans="1:4">
      <c r="A47" s="7" t="s">
        <v>265</v>
      </c>
      <c r="B47" s="41">
        <v>0.3516259566107784</v>
      </c>
      <c r="C47" s="41">
        <v>0.3102402445224894</v>
      </c>
      <c r="D47" s="41">
        <v>0.2739711378845349</v>
      </c>
    </row>
    <row r="48" spans="1:4">
      <c r="A48" s="7" t="s">
        <v>11</v>
      </c>
      <c r="B48" s="41">
        <v>0.3439592359162122</v>
      </c>
      <c r="C48" s="41">
        <v>0.3029002840813838</v>
      </c>
      <c r="D48" s="41">
        <v>0.2670051086059649</v>
      </c>
    </row>
    <row r="49" spans="1:4">
      <c r="A49" s="7" t="s">
        <v>266</v>
      </c>
      <c r="B49" s="41">
        <v>0.3414981289815616</v>
      </c>
      <c r="C49" s="41">
        <v>0.300531982158119</v>
      </c>
      <c r="D49" s="41">
        <v>0.2647465026080689</v>
      </c>
    </row>
    <row r="51" spans="1:4">
      <c r="A51" s="10" t="s">
        <v>745</v>
      </c>
      <c r="B51" s="18">
        <v>0</v>
      </c>
      <c r="C51" s="18">
        <v>0.01</v>
      </c>
      <c r="D51" s="18">
        <v>0.02</v>
      </c>
    </row>
    <row r="52" spans="1:4">
      <c r="A52" s="7" t="s">
        <v>265</v>
      </c>
      <c r="B52" s="61">
        <v>6.778354112970518</v>
      </c>
      <c r="C52" s="61">
        <v>6.144963017537895</v>
      </c>
      <c r="D52" s="61">
        <v>5.624046855435981</v>
      </c>
    </row>
    <row r="53" spans="1:4">
      <c r="A53" s="7" t="s">
        <v>11</v>
      </c>
      <c r="B53" s="61">
        <v>7.232677586074425</v>
      </c>
      <c r="C53" s="61">
        <v>6.556833051722258</v>
      </c>
      <c r="D53" s="61">
        <v>6.001002154270471</v>
      </c>
    </row>
    <row r="54" spans="1:4">
      <c r="A54" s="7" t="s">
        <v>266</v>
      </c>
      <c r="B54" s="61">
        <v>7.52790536051164</v>
      </c>
      <c r="C54" s="61">
        <v>6.824473798344697</v>
      </c>
      <c r="D54" s="61">
        <v>6.245954661735937</v>
      </c>
    </row>
    <row r="56" spans="1:4">
      <c r="A56" s="10" t="s">
        <v>746</v>
      </c>
      <c r="B56" s="18">
        <v>0</v>
      </c>
      <c r="C56" s="18">
        <v>0.01</v>
      </c>
      <c r="D56" s="18">
        <v>0.02</v>
      </c>
    </row>
    <row r="57" spans="1:4">
      <c r="A57" s="7" t="s">
        <v>265</v>
      </c>
      <c r="B57" s="58" t="s">
        <v>695</v>
      </c>
      <c r="C57" s="58" t="s">
        <v>695</v>
      </c>
      <c r="D57" s="58" t="s">
        <v>695</v>
      </c>
    </row>
    <row r="58" spans="1:4">
      <c r="A58" s="7" t="s">
        <v>11</v>
      </c>
      <c r="B58" s="58" t="s">
        <v>695</v>
      </c>
      <c r="C58" s="58" t="s">
        <v>695</v>
      </c>
      <c r="D58" s="58" t="s">
        <v>695</v>
      </c>
    </row>
    <row r="59" spans="1:4">
      <c r="A59" s="7" t="s">
        <v>266</v>
      </c>
      <c r="B59" s="58" t="s">
        <v>695</v>
      </c>
      <c r="C59" s="58" t="s">
        <v>695</v>
      </c>
      <c r="D59" s="58" t="s">
        <v>695</v>
      </c>
    </row>
    <row r="61" spans="1:4">
      <c r="A61" s="10" t="s">
        <v>747</v>
      </c>
      <c r="B61" s="18">
        <v>0</v>
      </c>
      <c r="C61" s="18">
        <v>0.01</v>
      </c>
      <c r="D61" s="18">
        <v>0.02</v>
      </c>
    </row>
    <row r="62" spans="1:4">
      <c r="A62" s="7" t="s">
        <v>265</v>
      </c>
      <c r="B62" s="62">
        <v>1870.586536996575</v>
      </c>
      <c r="C62" s="62">
        <v>1688.626536262055</v>
      </c>
      <c r="D62" s="62">
        <v>1539.360305003987</v>
      </c>
    </row>
    <row r="63" spans="1:4">
      <c r="A63" s="7" t="s">
        <v>11</v>
      </c>
      <c r="B63" s="62">
        <v>2729.903249529163</v>
      </c>
      <c r="C63" s="62">
        <v>2469.036801305191</v>
      </c>
      <c r="D63" s="62">
        <v>2254.86749480016</v>
      </c>
    </row>
    <row r="64" spans="1:4">
      <c r="A64" s="7" t="s">
        <v>266</v>
      </c>
      <c r="B64" s="62">
        <v>3649.879810496331</v>
      </c>
      <c r="C64" s="62">
        <v>3303.309065012361</v>
      </c>
      <c r="D64" s="62">
        <v>3018.721349734637</v>
      </c>
    </row>
    <row r="66" spans="1:4">
      <c r="A66" s="10" t="s">
        <v>748</v>
      </c>
      <c r="B66" s="18">
        <v>0</v>
      </c>
      <c r="C66" s="18">
        <v>0.01</v>
      </c>
      <c r="D66" s="18">
        <v>0.02</v>
      </c>
    </row>
    <row r="67" spans="1:4">
      <c r="A67" s="7" t="s">
        <v>265</v>
      </c>
      <c r="B67" s="18" t="s">
        <v>695</v>
      </c>
      <c r="C67" s="18" t="s">
        <v>695</v>
      </c>
      <c r="D67" s="18" t="s">
        <v>695</v>
      </c>
    </row>
    <row r="68" spans="1:4">
      <c r="A68" s="7" t="s">
        <v>11</v>
      </c>
      <c r="B68" s="18" t="s">
        <v>695</v>
      </c>
      <c r="C68" s="18" t="s">
        <v>695</v>
      </c>
      <c r="D68" s="18" t="s">
        <v>695</v>
      </c>
    </row>
    <row r="69" spans="1:4">
      <c r="A69" s="7" t="s">
        <v>266</v>
      </c>
      <c r="B69" s="18" t="s">
        <v>695</v>
      </c>
      <c r="C69" s="18" t="s">
        <v>695</v>
      </c>
      <c r="D69" s="18" t="s">
        <v>695</v>
      </c>
    </row>
    <row r="71" spans="1:4">
      <c r="A71" s="10" t="s">
        <v>749</v>
      </c>
      <c r="B71" s="18">
        <v>0</v>
      </c>
      <c r="C71" s="18">
        <v>0.01</v>
      </c>
      <c r="D71" s="18">
        <v>0.02</v>
      </c>
    </row>
    <row r="72" spans="1:4">
      <c r="A72" s="7" t="s">
        <v>265</v>
      </c>
      <c r="B72" s="41" t="s">
        <v>695</v>
      </c>
      <c r="C72" s="41" t="s">
        <v>695</v>
      </c>
      <c r="D72" s="41" t="s">
        <v>695</v>
      </c>
    </row>
    <row r="73" spans="1:4">
      <c r="A73" s="7" t="s">
        <v>11</v>
      </c>
      <c r="B73" s="41" t="s">
        <v>695</v>
      </c>
      <c r="C73" s="41" t="s">
        <v>695</v>
      </c>
      <c r="D73" s="41" t="s">
        <v>695</v>
      </c>
    </row>
    <row r="74" spans="1:4">
      <c r="A74" s="7" t="s">
        <v>266</v>
      </c>
      <c r="B74" s="41" t="s">
        <v>695</v>
      </c>
      <c r="C74" s="41" t="s">
        <v>695</v>
      </c>
      <c r="D74" s="41" t="s">
        <v>695</v>
      </c>
    </row>
    <row r="76" spans="1:4">
      <c r="A76" s="10" t="s">
        <v>750</v>
      </c>
    </row>
    <row r="77" spans="1:4">
      <c r="A77" s="7" t="s">
        <v>265</v>
      </c>
      <c r="B77" s="54">
        <f>B6-B32</f>
        <v>0.0</v>
      </c>
      <c r="C77" s="54">
        <f>C6-C32</f>
        <v>0.0</v>
      </c>
      <c r="D77" s="54">
        <f>D6-D32</f>
        <v>0.0</v>
      </c>
    </row>
    <row r="78" spans="1:4">
      <c r="A78" s="7" t="s">
        <v>11</v>
      </c>
      <c r="B78" s="54">
        <f>B7-B33</f>
        <v>-3.637978807091713e-12</v>
      </c>
      <c r="C78" s="54">
        <f>C7-C33</f>
        <v>-1.8189894035458565e-12</v>
      </c>
      <c r="D78" s="54">
        <f>D7-D33</f>
        <v>0.0</v>
      </c>
    </row>
    <row r="79" spans="1:4">
      <c r="A79" s="7" t="s">
        <v>266</v>
      </c>
      <c r="B79" s="54">
        <f>B8-B34</f>
        <v>-1.8189894035458565e-12</v>
      </c>
      <c r="C79" s="54">
        <f>C8-C34</f>
        <v>0.0</v>
      </c>
      <c r="D79" s="54">
        <f>D8-D34</f>
        <v>0.0</v>
      </c>
    </row>
    <row r="81" spans="1:20">
      <c r="A81" s="11" t="s">
        <v>751</v>
      </c>
    </row>
    <row r="82" spans="1:20">
      <c r="A82" s="7" t="s">
        <v>752</v>
      </c>
      <c r="B82" s="16"/>
      <c r="D82" s="7" t="s">
        <v>753</v>
      </c>
      <c r="E82" s="12"/>
    </row>
    <row r="83" spans="1:20">
      <c r="A83" s="7" t="s">
        <v>754</v>
      </c>
      <c r="B83" s="12"/>
      <c r="D83" s="7" t="s">
        <v>755</v>
      </c>
      <c r="E83" s="12"/>
    </row>
    <row r="84" spans="1:20">
      <c r="A84" s="7" t="s">
        <v>756</v>
      </c>
      <c r="B84" s="12"/>
      <c r="D84" s="7" t="s">
        <v>757</v>
      </c>
      <c r="E84" s="12"/>
    </row>
    <row r="86" spans="1:20">
      <c r="A86" s="11" t="s">
        <v>758</v>
      </c>
    </row>
    <row r="87" spans="1:20">
      <c r="A87" s="7" t="s">
        <v>759</v>
      </c>
      <c r="B87" s="12">
        <v>-0.02</v>
      </c>
      <c r="C87" s="12">
        <v>-0.01</v>
      </c>
      <c r="D87" s="12">
        <v>0</v>
      </c>
      <c r="E87" s="12">
        <v>0.01</v>
      </c>
      <c r="F87" s="12">
        <v>0.02</v>
      </c>
    </row>
    <row r="88" spans="1:20">
      <c r="A88" s="57">
        <f>PerShare</f>
        <v>8733.86445114907</v>
      </c>
      <c r="B88" s="30">
        <f>WaccCalc+B87</f>
        <v>0.07212124321403852</v>
      </c>
      <c r="C88" s="30">
        <f>WaccCalc+C87</f>
        <v>0.08212124321403853</v>
      </c>
      <c r="D88" s="30">
        <f>WaccCalc+D87</f>
        <v>0.09212124321403853</v>
      </c>
      <c r="E88" s="30">
        <f>WaccCalc+E87</f>
        <v>0.10212124321403852</v>
      </c>
      <c r="F88" s="30">
        <f>WaccCalc+F87</f>
        <v>0.11212124321403853</v>
      </c>
      <c r="H88" s="10" t="s">
        <v>760</v>
      </c>
      <c r="I88" s="18">
        <v>0.07212124321403854</v>
      </c>
      <c r="J88" s="18">
        <v>0.08212124321403855</v>
      </c>
      <c r="K88" s="18">
        <v>0.09212124321403854</v>
      </c>
      <c r="L88" s="18">
        <v>0.1021212432140385</v>
      </c>
      <c r="M88" s="18">
        <v>0.1121212432140385</v>
      </c>
      <c r="O88" s="10" t="s">
        <v>761</v>
      </c>
    </row>
    <row r="89" spans="1:20">
      <c r="A89" s="24">
        <v>0.01</v>
      </c>
      <c r="B89" s="54">
        <f t="dataTable" ref="B89:F93" dt2D="1" dtr="1" r1="B82" r2="E82"/>
        <v>8760.630093111113</v>
      </c>
      <c r="C89" s="54">
        <v>8745.454887901809</v>
      </c>
      <c r="D89" s="54">
        <v>8733.587002409149</v>
      </c>
      <c r="E89" s="54">
        <v>8724.055100444933</v>
      </c>
      <c r="F89" s="54">
        <v>8716.234301792583</v>
      </c>
      <c r="H89" s="41">
        <v>0.01</v>
      </c>
      <c r="I89" s="58">
        <v>8760.630093111113</v>
      </c>
      <c r="J89" s="58">
        <v>8745.454887901809</v>
      </c>
      <c r="K89" s="58">
        <v>8733.587002409149</v>
      </c>
      <c r="L89" s="58">
        <v>8724.055100444933</v>
      </c>
      <c r="M89" s="58">
        <v>8716.234301792583</v>
      </c>
      <c r="P89" s="54">
        <f>IF(ISNUMBER(I89),B89-I89,"")</f>
        <v>0.0</v>
      </c>
      <c r="Q89" s="54">
        <f>IF(ISNUMBER(J89),C89-J89,"")</f>
        <v>0.0</v>
      </c>
      <c r="R89" s="54">
        <f>IF(ISNUMBER(K89),D89-K89,"")</f>
        <v>0.0</v>
      </c>
      <c r="S89" s="54">
        <f>IF(ISNUMBER(L89),E89-L89,"")</f>
        <v>0.0</v>
      </c>
      <c r="T89" s="54">
        <f>IF(ISNUMBER(M89),F89-M89,"")</f>
        <v>0.0</v>
      </c>
    </row>
    <row r="90" spans="1:20">
      <c r="A90" s="24">
        <v>0.015</v>
      </c>
      <c r="B90" s="54">
        <v>8760.83276407642</v>
      </c>
      <c r="C90" s="54">
        <v>8745.620542045923</v>
      </c>
      <c r="D90" s="54">
        <v>8733.724550300698</v>
      </c>
      <c r="E90" s="54">
        <v>8724.170765326751</v>
      </c>
      <c r="F90" s="54">
        <v>8716.332584389651</v>
      </c>
      <c r="H90" s="41">
        <v>0.015</v>
      </c>
      <c r="I90" s="58">
        <v>8760.83276407642</v>
      </c>
      <c r="J90" s="58">
        <v>8745.620542045923</v>
      </c>
      <c r="K90" s="58">
        <v>8733.724550300698</v>
      </c>
      <c r="L90" s="58">
        <v>8724.170765326751</v>
      </c>
      <c r="M90" s="58">
        <v>8716.332584389651</v>
      </c>
      <c r="P90" s="54">
        <f>IF(ISNUMBER(I90),B90-I90,"")</f>
        <v>0.0</v>
      </c>
      <c r="Q90" s="54">
        <f>IF(ISNUMBER(J90),C90-J90,"")</f>
        <v>0.0</v>
      </c>
      <c r="R90" s="54">
        <f>IF(ISNUMBER(K90),D90-K90,"")</f>
        <v>0.0</v>
      </c>
      <c r="S90" s="54">
        <f>IF(ISNUMBER(L90),E90-L90,"")</f>
        <v>0.0</v>
      </c>
      <c r="T90" s="54">
        <f>IF(ISNUMBER(M90),F90-M90,"")</f>
        <v>0.0</v>
      </c>
    </row>
    <row r="91" spans="1:20">
      <c r="A91" s="24">
        <v>0.02</v>
      </c>
      <c r="B91" s="54">
        <v>8761.039126938262</v>
      </c>
      <c r="C91" s="54">
        <v>8745.789119902607</v>
      </c>
      <c r="D91" s="54">
        <v>8733.864451149073</v>
      </c>
      <c r="E91" s="54">
        <v>8724.288348604166</v>
      </c>
      <c r="F91" s="54">
        <v>8716.432447997822</v>
      </c>
      <c r="H91" s="41">
        <v>0.02</v>
      </c>
      <c r="I91" s="58">
        <v>8761.039126938262</v>
      </c>
      <c r="J91" s="58">
        <v>8745.789119902607</v>
      </c>
      <c r="K91" s="58">
        <v>8733.864451149073</v>
      </c>
      <c r="L91" s="58">
        <v>8724.288348604166</v>
      </c>
      <c r="M91" s="58">
        <v>8716.432447997822</v>
      </c>
      <c r="P91" s="54">
        <f>IF(ISNUMBER(I91),B91-I91,"")</f>
        <v>0.0</v>
      </c>
      <c r="Q91" s="54">
        <f>IF(ISNUMBER(J91),C91-J91,"")</f>
        <v>0.0</v>
      </c>
      <c r="R91" s="54">
        <f>IF(ISNUMBER(K91),D91-K91,"")</f>
        <v>0.0</v>
      </c>
      <c r="S91" s="54">
        <f>IF(ISNUMBER(L91),E91-L91,"")</f>
        <v>0.0</v>
      </c>
      <c r="T91" s="54">
        <f>IF(ISNUMBER(M91),F91-M91,"")</f>
        <v>0.0</v>
      </c>
    </row>
    <row r="92" spans="1:20">
      <c r="A92" s="24">
        <v>0.025</v>
      </c>
      <c r="B92" s="54">
        <v>8761.249231130079</v>
      </c>
      <c r="C92" s="54">
        <v>8745.960660336081</v>
      </c>
      <c r="D92" s="54">
        <v>8734.006736003696</v>
      </c>
      <c r="E92" s="54">
        <v>8724.407875406616</v>
      </c>
      <c r="F92" s="54">
        <v>8716.53391317438</v>
      </c>
      <c r="H92" s="41">
        <v>0.025</v>
      </c>
      <c r="I92" s="58">
        <v>8761.249231130079</v>
      </c>
      <c r="J92" s="58">
        <v>8745.960660336081</v>
      </c>
      <c r="K92" s="58">
        <v>8734.006736003696</v>
      </c>
      <c r="L92" s="58">
        <v>8724.407875406616</v>
      </c>
      <c r="M92" s="58">
        <v>8716.53391317438</v>
      </c>
      <c r="P92" s="54">
        <f>IF(ISNUMBER(I92),B92-I92,"")</f>
        <v>0.0</v>
      </c>
      <c r="Q92" s="54">
        <f>IF(ISNUMBER(J92),C92-J92,"")</f>
        <v>0.0</v>
      </c>
      <c r="R92" s="54">
        <f>IF(ISNUMBER(K92),D92-K92,"")</f>
        <v>0.0</v>
      </c>
      <c r="S92" s="54">
        <f>IF(ISNUMBER(L92),E92-L92,"")</f>
        <v>0.0</v>
      </c>
      <c r="T92" s="54">
        <f>IF(ISNUMBER(M92),F92-M92,"")</f>
        <v>0.0</v>
      </c>
    </row>
    <row r="93" spans="1:20">
      <c r="A93" s="24">
        <v>0.03</v>
      </c>
      <c r="B93" s="54">
        <v>8761.463126650482</v>
      </c>
      <c r="C93" s="54">
        <v>8746.135202653324</v>
      </c>
      <c r="D93" s="54">
        <v>8734.151436266467</v>
      </c>
      <c r="E93" s="54">
        <v>8724.52937114779</v>
      </c>
      <c r="F93" s="54">
        <v>8716.637000708295</v>
      </c>
      <c r="H93" s="41">
        <v>0.03</v>
      </c>
      <c r="I93" s="58">
        <v>8761.463126650482</v>
      </c>
      <c r="J93" s="58">
        <v>8746.135202653324</v>
      </c>
      <c r="K93" s="58">
        <v>8734.151436266467</v>
      </c>
      <c r="L93" s="58">
        <v>8724.52937114779</v>
      </c>
      <c r="M93" s="58">
        <v>8716.637000708295</v>
      </c>
      <c r="P93" s="54">
        <f>IF(ISNUMBER(I93),B93-I93,"")</f>
        <v>0.0</v>
      </c>
      <c r="Q93" s="54">
        <f>IF(ISNUMBER(J93),C93-J93,"")</f>
        <v>0.0</v>
      </c>
      <c r="R93" s="54">
        <f>IF(ISNUMBER(K93),D93-K93,"")</f>
        <v>0.0</v>
      </c>
      <c r="S93" s="54">
        <f>IF(ISNUMBER(L93),E93-L93,"")</f>
        <v>0.0</v>
      </c>
      <c r="T93" s="54">
        <f>IF(ISNUMBER(M93),F93-M93,"")</f>
        <v>0.0</v>
      </c>
    </row>
    <row r="95" spans="1:20">
      <c r="A95" s="11" t="s">
        <v>762</v>
      </c>
    </row>
    <row r="97" spans="1:20">
      <c r="A97" s="57">
        <f>PerShare</f>
        <v>8733.86445114907</v>
      </c>
      <c r="B97" s="12">
        <v>-0.04</v>
      </c>
      <c r="C97" s="12">
        <v>-0.02</v>
      </c>
      <c r="D97" s="12">
        <v>0</v>
      </c>
      <c r="E97" s="12">
        <v>0.02</v>
      </c>
      <c r="F97" s="12">
        <v>0.04</v>
      </c>
      <c r="H97" s="10" t="s">
        <v>760</v>
      </c>
      <c r="I97" s="18">
        <v>-0.04</v>
      </c>
      <c r="J97" s="18">
        <v>-0.02</v>
      </c>
      <c r="K97" s="18">
        <v>0</v>
      </c>
      <c r="L97" s="18">
        <v>0.02</v>
      </c>
      <c r="M97" s="18">
        <v>0.04</v>
      </c>
      <c r="O97" s="10" t="s">
        <v>761</v>
      </c>
    </row>
    <row r="98" spans="1:20">
      <c r="A98" s="12">
        <v>-0.04</v>
      </c>
      <c r="B98" s="54">
        <f t="dataTable" ref="B98:F102" dt2D="1" dtr="1" r1="B83" r2="E83"/>
        <v>8671.373201054577</v>
      </c>
      <c r="C98" s="54">
        <v>8699.849874973226</v>
      </c>
      <c r="D98" s="54">
        <v>8726.147514188056</v>
      </c>
      <c r="E98" s="54">
        <v>8752.007909407408</v>
      </c>
      <c r="F98" s="54">
        <v>8777.37203241201</v>
      </c>
      <c r="H98" s="18">
        <v>-0.04</v>
      </c>
      <c r="I98" s="58">
        <v>8671.373201054577</v>
      </c>
      <c r="J98" s="58">
        <v>8699.849874973226</v>
      </c>
      <c r="K98" s="58">
        <v>8726.147514188056</v>
      </c>
      <c r="L98" s="58">
        <v>8752.007909407408</v>
      </c>
      <c r="M98" s="58">
        <v>8777.37203241201</v>
      </c>
      <c r="P98" s="54">
        <f>IF(ISNUMBER(I98),B98-I98,"")</f>
        <v>0.0</v>
      </c>
      <c r="Q98" s="54">
        <f>IF(ISNUMBER(J98),C98-J98,"")</f>
        <v>0.0</v>
      </c>
      <c r="R98" s="54">
        <f>IF(ISNUMBER(K98),D98-K98,"")</f>
        <v>0.0</v>
      </c>
      <c r="S98" s="54">
        <f>IF(ISNUMBER(L98),E98-L98,"")</f>
        <v>0.0</v>
      </c>
      <c r="T98" s="54">
        <f>IF(ISNUMBER(M98),F98-M98,"")</f>
        <v>0.0</v>
      </c>
    </row>
    <row r="99" spans="1:20">
      <c r="A99" s="12">
        <v>-0.02</v>
      </c>
      <c r="B99" s="54">
        <v>8672.765771175689</v>
      </c>
      <c r="C99" s="54">
        <v>8702.440593663363</v>
      </c>
      <c r="D99" s="54">
        <v>8729.947557274048</v>
      </c>
      <c r="E99" s="54">
        <v>8757.01932694179</v>
      </c>
      <c r="F99" s="54">
        <v>8783.574965830645</v>
      </c>
      <c r="H99" s="18">
        <v>-0.02</v>
      </c>
      <c r="I99" s="58">
        <v>8672.765771175689</v>
      </c>
      <c r="J99" s="58">
        <v>8702.440593663363</v>
      </c>
      <c r="K99" s="58">
        <v>8729.947557274048</v>
      </c>
      <c r="L99" s="58">
        <v>8757.01932694179</v>
      </c>
      <c r="M99" s="58">
        <v>8783.574965830645</v>
      </c>
      <c r="P99" s="54">
        <f>IF(ISNUMBER(I99),B99-I99,"")</f>
        <v>0.0</v>
      </c>
      <c r="Q99" s="54">
        <f>IF(ISNUMBER(J99),C99-J99,"")</f>
        <v>0.0</v>
      </c>
      <c r="R99" s="54">
        <f>IF(ISNUMBER(K99),D99-K99,"")</f>
        <v>0.0</v>
      </c>
      <c r="S99" s="54">
        <f>IF(ISNUMBER(L99),E99-L99,"")</f>
        <v>0.0</v>
      </c>
      <c r="T99" s="54">
        <f>IF(ISNUMBER(M99),F99-M99,"")</f>
        <v>0.0</v>
      </c>
    </row>
    <row r="100" spans="1:20">
      <c r="A100" s="12">
        <v>0</v>
      </c>
      <c r="B100" s="54">
        <v>8674.210102284504</v>
      </c>
      <c r="C100" s="54">
        <v>8705.077504591683</v>
      </c>
      <c r="D100" s="54">
        <v>8733.864451149073</v>
      </c>
      <c r="E100" s="54">
        <v>8762.1863250035</v>
      </c>
      <c r="F100" s="54">
        <v>8789.985584247343</v>
      </c>
      <c r="H100" s="18">
        <v>0</v>
      </c>
      <c r="I100" s="58">
        <v>8674.210102284504</v>
      </c>
      <c r="J100" s="58">
        <v>8705.077504591683</v>
      </c>
      <c r="K100" s="58">
        <v>8733.864451149073</v>
      </c>
      <c r="L100" s="58">
        <v>8762.1863250035</v>
      </c>
      <c r="M100" s="58">
        <v>8789.985584247343</v>
      </c>
      <c r="P100" s="54">
        <f>IF(ISNUMBER(I100),B100-I100,"")</f>
        <v>0.0</v>
      </c>
      <c r="Q100" s="54">
        <f>IF(ISNUMBER(J100),C100-J100,"")</f>
        <v>0.0</v>
      </c>
      <c r="R100" s="54">
        <f>IF(ISNUMBER(K100),D100-K100,"")</f>
        <v>0.0</v>
      </c>
      <c r="S100" s="54">
        <f>IF(ISNUMBER(L100),E100-L100,"")</f>
        <v>0.0</v>
      </c>
      <c r="T100" s="54">
        <f>IF(ISNUMBER(M100),F100-M100,"")</f>
        <v>0.0</v>
      </c>
    </row>
    <row r="101" spans="1:20">
      <c r="A101" s="12">
        <v>0.02</v>
      </c>
      <c r="B101" s="54">
        <v>8675.707316867392</v>
      </c>
      <c r="C101" s="54">
        <v>8707.79049256572</v>
      </c>
      <c r="D101" s="54">
        <v>8737.896241769717</v>
      </c>
      <c r="E101" s="54">
        <v>8767.506543663276</v>
      </c>
      <c r="F101" s="54">
        <v>8796.608170623796</v>
      </c>
      <c r="H101" s="18">
        <v>0.02</v>
      </c>
      <c r="I101" s="58">
        <v>8675.707316867392</v>
      </c>
      <c r="J101" s="58">
        <v>8707.79049256572</v>
      </c>
      <c r="K101" s="58">
        <v>8737.896241769717</v>
      </c>
      <c r="L101" s="58">
        <v>8767.506543663276</v>
      </c>
      <c r="M101" s="58">
        <v>8796.608170623796</v>
      </c>
      <c r="P101" s="54">
        <f>IF(ISNUMBER(I101),B101-I101,"")</f>
        <v>0.0</v>
      </c>
      <c r="Q101" s="54">
        <f>IF(ISNUMBER(J101),C101-J101,"")</f>
        <v>0.0</v>
      </c>
      <c r="R101" s="54">
        <f>IF(ISNUMBER(K101),D101-K101,"")</f>
        <v>0.0</v>
      </c>
      <c r="S101" s="54">
        <f>IF(ISNUMBER(L101),E101-L101,"")</f>
        <v>0.0</v>
      </c>
      <c r="T101" s="54">
        <f>IF(ISNUMBER(M101),F101-M101,"")</f>
        <v>0.0</v>
      </c>
    </row>
    <row r="102" spans="1:20">
      <c r="A102" s="12">
        <v>0.04</v>
      </c>
      <c r="B102" s="54">
        <v>8677.258548044116</v>
      </c>
      <c r="C102" s="54">
        <v>8710.595461729048</v>
      </c>
      <c r="D102" s="54">
        <v>8742.061712040768</v>
      </c>
      <c r="E102" s="54">
        <v>8773.001284452104</v>
      </c>
      <c r="F102" s="54">
        <v>8803.447047258598</v>
      </c>
      <c r="H102" s="18">
        <v>0.04</v>
      </c>
      <c r="I102" s="58">
        <v>8677.258548044116</v>
      </c>
      <c r="J102" s="58">
        <v>8710.595461729048</v>
      </c>
      <c r="K102" s="58">
        <v>8742.061712040768</v>
      </c>
      <c r="L102" s="58">
        <v>8773.001284452104</v>
      </c>
      <c r="M102" s="58">
        <v>8803.447047258598</v>
      </c>
      <c r="P102" s="54">
        <f>IF(ISNUMBER(I102),B102-I102,"")</f>
        <v>0.0</v>
      </c>
      <c r="Q102" s="54">
        <f>IF(ISNUMBER(J102),C102-J102,"")</f>
        <v>0.0</v>
      </c>
      <c r="R102" s="54">
        <f>IF(ISNUMBER(K102),D102-K102,"")</f>
        <v>0.0</v>
      </c>
      <c r="S102" s="54">
        <f>IF(ISNUMBER(L102),E102-L102,"")</f>
        <v>0.0</v>
      </c>
      <c r="T102" s="54">
        <f>IF(ISNUMBER(M102),F102-M102,"")</f>
        <v>0.0</v>
      </c>
    </row>
    <row r="104" spans="1:20">
      <c r="A104" s="11" t="s">
        <v>763</v>
      </c>
    </row>
    <row r="106" spans="1:20">
      <c r="A106" s="57">
        <f>PerShare</f>
        <v>8733.86445114907</v>
      </c>
      <c r="B106" s="12">
        <v>0</v>
      </c>
      <c r="C106" s="12">
        <v>0.01</v>
      </c>
      <c r="D106" s="12">
        <v>0.02</v>
      </c>
      <c r="F106" s="10" t="s">
        <v>760</v>
      </c>
      <c r="G106" s="18">
        <v>0</v>
      </c>
      <c r="H106" s="18">
        <v>0.01</v>
      </c>
      <c r="I106" s="18">
        <v>0.02</v>
      </c>
      <c r="K106" s="10" t="s">
        <v>761</v>
      </c>
    </row>
    <row r="107" spans="1:20">
      <c r="A107" s="12">
        <v>0.07000000000000001</v>
      </c>
      <c r="B107" s="54">
        <f t="dataTable" ref="B107:D109" dt2D="1" dtr="1" r1="B84" r2="E84"/>
        <v>8740.970636815629</v>
      </c>
      <c r="C107" s="54">
        <v>8730.063673957948</v>
      </c>
      <c r="D107" s="54">
        <v>8721.222355930757</v>
      </c>
      <c r="F107" s="18">
        <v>0.07000000000000001</v>
      </c>
      <c r="G107" s="58">
        <v>8740.970636815629</v>
      </c>
      <c r="H107" s="58">
        <v>8730.063673957948</v>
      </c>
      <c r="I107" s="58">
        <v>8721.222355930757</v>
      </c>
      <c r="L107" s="54">
        <f>IF(ISNUMBER(G107),B107-G107,"")</f>
        <v>0.0</v>
      </c>
      <c r="M107" s="54">
        <f>IF(ISNUMBER(H107),C107-H107,"")</f>
        <v>0.0</v>
      </c>
      <c r="N107" s="54">
        <f>IF(ISNUMBER(I107),D107-I107,"")</f>
        <v>0.0</v>
      </c>
    </row>
    <row r="108" spans="1:20">
      <c r="A108" s="12">
        <v>0.08</v>
      </c>
      <c r="B108" s="54">
        <v>8733.864451149073</v>
      </c>
      <c r="C108" s="54">
        <v>8724.324976387044</v>
      </c>
      <c r="D108" s="54">
        <v>8716.493142480786</v>
      </c>
      <c r="F108" s="18">
        <v>0.08</v>
      </c>
      <c r="G108" s="58">
        <v>8733.864451149073</v>
      </c>
      <c r="H108" s="58">
        <v>8724.324976387044</v>
      </c>
      <c r="I108" s="58">
        <v>8716.493142480786</v>
      </c>
      <c r="L108" s="54">
        <f>IF(ISNUMBER(G108),B108-G108,"")</f>
        <v>0.0</v>
      </c>
      <c r="M108" s="54">
        <f>IF(ISNUMBER(H108),C108-H108,"")</f>
        <v>0.0</v>
      </c>
      <c r="N108" s="54">
        <f>IF(ISNUMBER(I108),D108-I108,"")</f>
        <v>0.0</v>
      </c>
    </row>
    <row r="109" spans="1:20">
      <c r="A109" s="12">
        <v>0.09</v>
      </c>
      <c r="B109" s="54">
        <v>8727.664412936974</v>
      </c>
      <c r="C109" s="54">
        <v>8719.251719478692</v>
      </c>
      <c r="D109" s="54">
        <v>8712.266916771194</v>
      </c>
      <c r="F109" s="18">
        <v>0.09</v>
      </c>
      <c r="G109" s="58">
        <v>8727.664412936974</v>
      </c>
      <c r="H109" s="58">
        <v>8719.251719478692</v>
      </c>
      <c r="I109" s="58">
        <v>8712.266916771194</v>
      </c>
      <c r="L109" s="54">
        <f>IF(ISNUMBER(G109),B109-G109,"")</f>
        <v>0.0</v>
      </c>
      <c r="M109" s="54">
        <f>IF(ISNUMBER(H109),C109-H109,"")</f>
        <v>0.0</v>
      </c>
      <c r="N109" s="54">
        <f>IF(ISNUMBER(I109),D109-I109,"")</f>
        <v>0.0</v>
      </c>
    </row>
    <row r="110" spans="1:20">
      <c r="A110" s="9" t="s">
        <v>764</v>
      </c>
    </row>
    <row r="112" spans="1:20">
      <c r="A112" s="11" t="s">
        <v>765</v>
      </c>
    </row>
    <row r="113" spans="1:17">
      <c r="A113" s="7" t="s">
        <v>766</v>
      </c>
      <c r="B113" s="41" t="s">
        <v>695</v>
      </c>
    </row>
    <row r="114" spans="1:17">
      <c r="A114" s="7" t="s">
        <v>767</v>
      </c>
      <c r="B114" s="18" t="s">
        <v>695</v>
      </c>
    </row>
    <row r="115" spans="1:17">
      <c r="A115" s="7" t="s">
        <v>768</v>
      </c>
      <c r="B115" s="18" t="s">
        <v>695</v>
      </c>
    </row>
    <row r="117" spans="1:17">
      <c r="A117" s="11" t="s">
        <v>769</v>
      </c>
    </row>
    <row r="118" spans="1:17">
      <c r="A118" s="7" t="s">
        <v>770</v>
      </c>
      <c r="B118" s="16"/>
    </row>
    <row r="119" spans="1:17">
      <c r="A119" s="3" t="s">
        <v>771</v>
      </c>
    </row>
    <row r="120" spans="1:17">
      <c r="A120" s="57">
        <f>PerShare</f>
        <v>8733.86445114907</v>
      </c>
      <c r="B120" s="30">
        <f>SRP_1</f>
        <v>0.0</v>
      </c>
      <c r="C120" s="30">
        <f>SRP_2</f>
        <v>0.01</v>
      </c>
      <c r="D120" s="30">
        <f>SRP_3</f>
        <v>0.02</v>
      </c>
      <c r="E120" s="30">
        <f>SRP_Cite</f>
        <v>0.0402</v>
      </c>
      <c r="G120" s="10" t="s">
        <v>772</v>
      </c>
      <c r="H120" s="18">
        <v>0</v>
      </c>
      <c r="I120" s="18">
        <v>0.01</v>
      </c>
      <c r="J120" s="18">
        <v>0.02</v>
      </c>
      <c r="K120" s="18">
        <v>0.0402</v>
      </c>
      <c r="M120" s="10" t="s">
        <v>761</v>
      </c>
    </row>
    <row r="121" spans="1:17">
      <c r="A121" s="45">
        <f>Rf_5Y</f>
        <v>0.04203</v>
      </c>
      <c r="B121" s="54">
        <f t="dataTable" ref="B121:E122" dt2D="1" dtr="1" r1="B84" r2="B118"/>
        <v>8733.864451149073</v>
      </c>
      <c r="C121" s="54">
        <v>8724.324976387044</v>
      </c>
      <c r="D121" s="54">
        <v>8716.493142480786</v>
      </c>
      <c r="E121" s="54">
        <v>8704.303649795089</v>
      </c>
      <c r="G121" s="60">
        <v>0.04203</v>
      </c>
      <c r="H121" s="58">
        <v>8733.864451149073</v>
      </c>
      <c r="I121" s="58">
        <v>8724.324976387044</v>
      </c>
      <c r="J121" s="58">
        <v>8716.493142480786</v>
      </c>
      <c r="K121" s="58">
        <v>8704.303649795089</v>
      </c>
      <c r="N121" s="54">
        <f>IF(ISNUMBER(H121),B121-H121,"")</f>
        <v>0.0</v>
      </c>
      <c r="O121" s="54">
        <f>IF(ISNUMBER(I121),C121-I121,"")</f>
        <v>0.0</v>
      </c>
      <c r="P121" s="54">
        <f>IF(ISNUMBER(J121),D121-J121,"")</f>
        <v>0.0</v>
      </c>
      <c r="Q121" s="54">
        <f>IF(ISNUMBER(K121),E121-K121,"")</f>
        <v>0.0</v>
      </c>
    </row>
    <row r="122" spans="1:17">
      <c r="A122" s="45">
        <f>Rf_10Y</f>
        <v>0.04407</v>
      </c>
      <c r="B122" s="54">
        <v>8731.75341730887</v>
      </c>
      <c r="C122" s="54">
        <v>8722.604601346411</v>
      </c>
      <c r="D122" s="54">
        <v>8715.064811337636</v>
      </c>
      <c r="E122" s="54">
        <v>8703.278041359199</v>
      </c>
      <c r="G122" s="60">
        <v>0.04407</v>
      </c>
      <c r="H122" s="58">
        <v>8731.75341730887</v>
      </c>
      <c r="I122" s="58">
        <v>8722.604601346411</v>
      </c>
      <c r="J122" s="58">
        <v>8715.064811337636</v>
      </c>
      <c r="K122" s="58">
        <v>8703.278041359199</v>
      </c>
      <c r="N122" s="54">
        <f>IF(ISNUMBER(H122),B122-H122,"")</f>
        <v>0.0</v>
      </c>
      <c r="O122" s="54">
        <f>IF(ISNUMBER(I122),C122-I122,"")</f>
        <v>0.0</v>
      </c>
      <c r="P122" s="54">
        <f>IF(ISNUMBER(J122),D122-J122,"")</f>
        <v>0.0</v>
      </c>
      <c r="Q122" s="54">
        <f>IF(ISNUMBER(K122),E122-K122,"")</f>
        <v>0.0</v>
      </c>
    </row>
    <row r="123" spans="1:17">
      <c r="A123" s="9" t="s">
        <v>773</v>
      </c>
    </row>
    <row r="125" spans="1:17">
      <c r="A125" s="10" t="s">
        <v>774</v>
      </c>
      <c r="B125" s="18">
        <v>0</v>
      </c>
      <c r="C125" s="18">
        <v>0.01</v>
      </c>
      <c r="D125" s="18">
        <v>0.02</v>
      </c>
    </row>
    <row r="126" spans="1:17">
      <c r="A126" s="7" t="s">
        <v>265</v>
      </c>
      <c r="B126" s="58">
        <v>8700.967669395404</v>
      </c>
      <c r="C126" s="58">
        <v>8694.587193625122</v>
      </c>
      <c r="D126" s="58">
        <v>8689.333222333049</v>
      </c>
    </row>
    <row r="127" spans="1:17">
      <c r="A127" s="7" t="s">
        <v>11</v>
      </c>
      <c r="B127" s="58">
        <v>8731.75341730887</v>
      </c>
      <c r="C127" s="58">
        <v>8722.604601346411</v>
      </c>
      <c r="D127" s="58">
        <v>8715.064811337636</v>
      </c>
    </row>
    <row r="128" spans="1:17">
      <c r="A128" s="7" t="s">
        <v>266</v>
      </c>
      <c r="B128" s="58">
        <v>8764.702146671945</v>
      </c>
      <c r="C128" s="58">
        <v>8752.547150309567</v>
      </c>
      <c r="D128" s="58">
        <v>8742.527853142319</v>
      </c>
    </row>
    <row r="130" spans="1:4">
      <c r="A130" s="10" t="s">
        <v>775</v>
      </c>
      <c r="B130" s="18">
        <v>0</v>
      </c>
      <c r="C130" s="18">
        <v>0.01</v>
      </c>
      <c r="D130" s="18">
        <v>0.02</v>
      </c>
    </row>
    <row r="131" spans="1:4">
      <c r="A131" s="7" t="s">
        <v>265</v>
      </c>
      <c r="B131" s="60">
        <v>0.09415259037487493</v>
      </c>
      <c r="C131" s="60">
        <v>0.104110174496622</v>
      </c>
      <c r="D131" s="60">
        <v>0.1140677586183691</v>
      </c>
    </row>
    <row r="132" spans="1:4">
      <c r="A132" s="7" t="s">
        <v>11</v>
      </c>
      <c r="B132" s="60">
        <v>0.09415259037487493</v>
      </c>
      <c r="C132" s="60">
        <v>0.104110174496622</v>
      </c>
      <c r="D132" s="60">
        <v>0.1140677586183691</v>
      </c>
    </row>
    <row r="133" spans="1:4">
      <c r="A133" s="7" t="s">
        <v>266</v>
      </c>
      <c r="B133" s="60">
        <v>0.09415259037487493</v>
      </c>
      <c r="C133" s="60">
        <v>0.104110174496622</v>
      </c>
      <c r="D133" s="60">
        <v>0.1140677586183691</v>
      </c>
    </row>
    <row r="135" spans="1:4">
      <c r="A135" s="10" t="s">
        <v>776</v>
      </c>
    </row>
    <row r="136" spans="1:4">
      <c r="A136" s="7" t="s">
        <v>265</v>
      </c>
      <c r="B136" s="57">
        <f>IF(RfTenor=10,B6-B126,"")</f>
        <v/>
      </c>
      <c r="C136" s="57">
        <f>IF(RfTenor=10,C6-C126,"")</f>
        <v/>
      </c>
      <c r="D136" s="57">
        <f>IF(RfTenor=10,D6-D126,"")</f>
        <v/>
      </c>
    </row>
    <row r="137" spans="1:4">
      <c r="A137" s="7" t="s">
        <v>11</v>
      </c>
      <c r="B137" s="57">
        <f>IF(RfTenor=10,B7-B127,"")</f>
        <v/>
      </c>
      <c r="C137" s="57">
        <f>IF(RfTenor=10,C7-C127,"")</f>
        <v/>
      </c>
      <c r="D137" s="57">
        <f>IF(RfTenor=10,D7-D127,"")</f>
        <v/>
      </c>
    </row>
    <row r="138" spans="1:4">
      <c r="A138" s="7" t="s">
        <v>266</v>
      </c>
      <c r="B138" s="57">
        <f>IF(RfTenor=10,B8-B128,"")</f>
        <v/>
      </c>
      <c r="C138" s="57">
        <f>IF(RfTenor=10,C8-C128,"")</f>
        <v/>
      </c>
      <c r="D138" s="57">
        <f>IF(RfTenor=10,D8-D128,"")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R220"/>
  <sheetViews>
    <sheetView showGridLines="0" workbookViewId="0"/>
  </sheetViews>
  <sheetFormatPr defaultRowHeight="15"/>
  <cols>
    <col min="1" max="1" width="40.7109375" customWidth="1"/>
    <col min="2" max="2" width="9.7109375" customWidth="1"/>
    <col min="3" max="3" width="13.7109375" customWidth="1"/>
    <col min="4" max="18" width="12.7109375" customWidth="1"/>
  </cols>
  <sheetData>
    <row r="1" spans="1:18">
      <c r="A1" s="1" t="s">
        <v>660</v>
      </c>
    </row>
    <row r="2" spans="1:18">
      <c r="A2" s="9" t="s">
        <v>661</v>
      </c>
    </row>
    <row r="4" spans="1:18">
      <c r="A4" s="11" t="s">
        <v>662</v>
      </c>
    </row>
    <row r="5" spans="1:18">
      <c r="A5" s="7" t="s">
        <v>458</v>
      </c>
      <c r="C5" s="35">
        <v>0</v>
      </c>
      <c r="D5" s="35">
        <f>C5+1</f>
        <v>1.0</v>
      </c>
      <c r="E5" s="35">
        <f>D5+1</f>
        <v>2.0</v>
      </c>
      <c r="F5" s="35">
        <f>E5+1</f>
        <v>3.0</v>
      </c>
      <c r="G5" s="35">
        <f>F5+1</f>
        <v>4.0</v>
      </c>
      <c r="H5" s="35">
        <f>G5+1</f>
        <v>5.0</v>
      </c>
      <c r="I5" s="35">
        <f>H5+1</f>
        <v>6.0</v>
      </c>
      <c r="J5" s="35">
        <f>I5+1</f>
        <v>7.0</v>
      </c>
      <c r="K5" s="35">
        <f>J5+1</f>
        <v>8.0</v>
      </c>
      <c r="L5" s="35">
        <f>K5+1</f>
        <v>9.0</v>
      </c>
      <c r="M5" s="35">
        <f>L5+1</f>
        <v>10.0</v>
      </c>
      <c r="N5" s="35">
        <f>M5+1</f>
        <v>11.0</v>
      </c>
      <c r="O5" s="35">
        <f>N5+1</f>
        <v>12.0</v>
      </c>
      <c r="P5" s="35">
        <f>O5+1</f>
        <v>13.0</v>
      </c>
      <c r="Q5" s="35">
        <f>P5+1</f>
        <v>14.0</v>
      </c>
      <c r="R5" s="35">
        <f>Q5+1</f>
        <v>15.0</v>
      </c>
    </row>
    <row r="6" spans="1:18">
      <c r="A6" s="7" t="s">
        <v>49</v>
      </c>
      <c r="D6" s="36">
        <f>YEAR(CfStart)+D5-1</f>
        <v>2026.0</v>
      </c>
      <c r="E6" s="36">
        <f>YEAR(CfStart)+E5-1</f>
        <v>2027.0</v>
      </c>
      <c r="F6" s="36">
        <f>YEAR(CfStart)+F5-1</f>
        <v>2028.0</v>
      </c>
      <c r="G6" s="36">
        <f>YEAR(CfStart)+G5-1</f>
        <v>2029.0</v>
      </c>
      <c r="H6" s="36">
        <f>YEAR(CfStart)+H5-1</f>
        <v>2030.0</v>
      </c>
      <c r="I6" s="36">
        <f>YEAR(CfStart)+I5-1</f>
        <v>2031.0</v>
      </c>
      <c r="J6" s="36">
        <f>YEAR(CfStart)+J5-1</f>
        <v>2032.0</v>
      </c>
      <c r="K6" s="36">
        <f>YEAR(CfStart)+K5-1</f>
        <v>2033.0</v>
      </c>
      <c r="L6" s="36">
        <f>YEAR(CfStart)+L5-1</f>
        <v>2034.0</v>
      </c>
      <c r="M6" s="36">
        <f>YEAR(CfStart)+M5-1</f>
        <v>2035.0</v>
      </c>
      <c r="N6" s="36">
        <f>YEAR(CfStart)+N5-1</f>
        <v>2036.0</v>
      </c>
      <c r="O6" s="36">
        <f>YEAR(CfStart)+O5-1</f>
        <v>2037.0</v>
      </c>
      <c r="P6" s="36">
        <f>YEAR(CfStart)+P5-1</f>
        <v>2038.0</v>
      </c>
      <c r="Q6" s="36">
        <f>YEAR(CfStart)+Q5-1</f>
        <v>2039.0</v>
      </c>
      <c r="R6" s="36">
        <f>YEAR(CfStart)+R5-1</f>
        <v>2040.0</v>
      </c>
    </row>
    <row r="7" spans="1:18">
      <c r="A7" s="7" t="s">
        <v>228</v>
      </c>
      <c r="D7" s="7" t="str">
        <f>IF(D11=1,"명시","체감")</f>
        <v>명시</v>
      </c>
      <c r="E7" s="7" t="str">
        <f>IF(E11=1,"명시","체감")</f>
        <v>명시</v>
      </c>
      <c r="F7" s="7" t="str">
        <f>IF(F11=1,"명시","체감")</f>
        <v>명시</v>
      </c>
      <c r="G7" s="7" t="str">
        <f>IF(G11=1,"명시","체감")</f>
        <v>명시</v>
      </c>
      <c r="H7" s="7" t="str">
        <f>IF(H11=1,"명시","체감")</f>
        <v>명시</v>
      </c>
      <c r="I7" s="7" t="str">
        <f>IF(I11=1,"명시","체감")</f>
        <v>명시</v>
      </c>
      <c r="J7" s="7" t="str">
        <f>IF(J11=1,"명시","체감")</f>
        <v>명시</v>
      </c>
      <c r="K7" s="7" t="str">
        <f>IF(K11=1,"명시","체감")</f>
        <v>체감</v>
      </c>
      <c r="L7" s="7" t="str">
        <f>IF(L11=1,"명시","체감")</f>
        <v>체감</v>
      </c>
      <c r="M7" s="7" t="str">
        <f>IF(M11=1,"명시","체감")</f>
        <v>체감</v>
      </c>
      <c r="N7" s="7" t="str">
        <f>IF(N11=1,"명시","체감")</f>
        <v>체감</v>
      </c>
      <c r="O7" s="7" t="str">
        <f>IF(O11=1,"명시","체감")</f>
        <v>체감</v>
      </c>
      <c r="P7" s="7" t="str">
        <f>IF(P11=1,"명시","체감")</f>
        <v>체감</v>
      </c>
      <c r="Q7" s="7" t="str">
        <f>IF(Q11=1,"명시","체감")</f>
        <v>체감</v>
      </c>
      <c r="R7" s="7" t="str">
        <f>IF(R11=1,"명시","체감")</f>
        <v>체감</v>
      </c>
    </row>
    <row r="8" spans="1:18">
      <c r="A8" s="7" t="s">
        <v>459</v>
      </c>
      <c r="D8" s="37">
        <f>MAX(DATE(D6,1,1),CfStart)</f>
        <v>46204.0</v>
      </c>
      <c r="E8" s="37">
        <f>MAX(DATE(E6,1,1),CfStart)</f>
        <v>46388.0</v>
      </c>
      <c r="F8" s="37">
        <f>MAX(DATE(F6,1,1),CfStart)</f>
        <v>46753.0</v>
      </c>
      <c r="G8" s="37">
        <f>MAX(DATE(G6,1,1),CfStart)</f>
        <v>47119.0</v>
      </c>
      <c r="H8" s="37">
        <f>MAX(DATE(H6,1,1),CfStart)</f>
        <v>47484.0</v>
      </c>
      <c r="I8" s="37">
        <f>MAX(DATE(I6,1,1),CfStart)</f>
        <v>47849.0</v>
      </c>
      <c r="J8" s="37">
        <f>MAX(DATE(J6,1,1),CfStart)</f>
        <v>48214.0</v>
      </c>
      <c r="K8" s="37">
        <f>MAX(DATE(K6,1,1),CfStart)</f>
        <v>48580.0</v>
      </c>
      <c r="L8" s="37">
        <f>MAX(DATE(L6,1,1),CfStart)</f>
        <v>48945.0</v>
      </c>
      <c r="M8" s="37">
        <f>MAX(DATE(M6,1,1),CfStart)</f>
        <v>49310.0</v>
      </c>
      <c r="N8" s="37">
        <f>MAX(DATE(N6,1,1),CfStart)</f>
        <v>49675.0</v>
      </c>
      <c r="O8" s="37">
        <f>MAX(DATE(O6,1,1),CfStart)</f>
        <v>50041.0</v>
      </c>
      <c r="P8" s="37">
        <f>MAX(DATE(P6,1,1),CfStart)</f>
        <v>50406.0</v>
      </c>
      <c r="Q8" s="37">
        <f>MAX(DATE(Q6,1,1),CfStart)</f>
        <v>50771.0</v>
      </c>
      <c r="R8" s="37">
        <f>MAX(DATE(R6,1,1),CfStart)</f>
        <v>51136.0</v>
      </c>
    </row>
    <row r="9" spans="1:18">
      <c r="A9" s="7" t="s">
        <v>460</v>
      </c>
      <c r="D9" s="38">
        <f>DATE(D6,12,31)</f>
        <v>46387.0</v>
      </c>
      <c r="E9" s="38">
        <f>DATE(E6,12,31)</f>
        <v>46752.0</v>
      </c>
      <c r="F9" s="38">
        <f>DATE(F6,12,31)</f>
        <v>47118.0</v>
      </c>
      <c r="G9" s="38">
        <f>DATE(G6,12,31)</f>
        <v>47483.0</v>
      </c>
      <c r="H9" s="38">
        <f>DATE(H6,12,31)</f>
        <v>47848.0</v>
      </c>
      <c r="I9" s="38">
        <f>DATE(I6,12,31)</f>
        <v>48213.0</v>
      </c>
      <c r="J9" s="38">
        <f>DATE(J6,12,31)</f>
        <v>48579.0</v>
      </c>
      <c r="K9" s="38">
        <f>DATE(K6,12,31)</f>
        <v>48944.0</v>
      </c>
      <c r="L9" s="38">
        <f>DATE(L6,12,31)</f>
        <v>49309.0</v>
      </c>
      <c r="M9" s="38">
        <f>DATE(M6,12,31)</f>
        <v>49674.0</v>
      </c>
      <c r="N9" s="38">
        <f>DATE(N6,12,31)</f>
        <v>50040.0</v>
      </c>
      <c r="O9" s="38">
        <f>DATE(O6,12,31)</f>
        <v>50405.0</v>
      </c>
      <c r="P9" s="38">
        <f>DATE(P6,12,31)</f>
        <v>50770.0</v>
      </c>
      <c r="Q9" s="38">
        <f>DATE(Q6,12,31)</f>
        <v>51135.0</v>
      </c>
      <c r="R9" s="38">
        <f>DATE(R6,12,31)</f>
        <v>51501.0</v>
      </c>
    </row>
    <row r="10" spans="1:18">
      <c r="A10" s="7" t="s">
        <v>461</v>
      </c>
      <c r="D10" s="39">
        <f>(D9-D8+1)/DaysYr</f>
        <v>0.5041095890410959</v>
      </c>
      <c r="E10" s="39">
        <f>(E9-E8+1)/DaysYr</f>
        <v>1.0</v>
      </c>
      <c r="F10" s="39">
        <f>(F9-F8+1)/DaysYr</f>
        <v>1.0027397260273974</v>
      </c>
      <c r="G10" s="39">
        <f>(G9-G8+1)/DaysYr</f>
        <v>1.0</v>
      </c>
      <c r="H10" s="39">
        <f>(H9-H8+1)/DaysYr</f>
        <v>1.0</v>
      </c>
      <c r="I10" s="39">
        <f>(I9-I8+1)/DaysYr</f>
        <v>1.0</v>
      </c>
      <c r="J10" s="39">
        <f>(J9-J8+1)/DaysYr</f>
        <v>1.0027397260273974</v>
      </c>
      <c r="K10" s="39">
        <f>(K9-K8+1)/DaysYr</f>
        <v>1.0</v>
      </c>
      <c r="L10" s="39">
        <f>(L9-L8+1)/DaysYr</f>
        <v>1.0</v>
      </c>
      <c r="M10" s="39">
        <f>(M9-M8+1)/DaysYr</f>
        <v>1.0</v>
      </c>
      <c r="N10" s="39">
        <f>(N9-N8+1)/DaysYr</f>
        <v>1.0027397260273974</v>
      </c>
      <c r="O10" s="39">
        <f>(O9-O8+1)/DaysYr</f>
        <v>1.0</v>
      </c>
      <c r="P10" s="39">
        <f>(P9-P8+1)/DaysYr</f>
        <v>1.0</v>
      </c>
      <c r="Q10" s="39">
        <f>(Q9-Q8+1)/DaysYr</f>
        <v>1.0</v>
      </c>
      <c r="R10" s="39">
        <f>(R9-R8+1)/DaysYr</f>
        <v>1.0027397260273974</v>
      </c>
    </row>
    <row r="11" spans="1:18">
      <c r="A11" s="7" t="s">
        <v>462</v>
      </c>
      <c r="D11" s="34">
        <f>IF(D6&lt;=ExplicitEnd,1,0)</f>
        <v>1.0</v>
      </c>
      <c r="E11" s="34">
        <f>IF(E6&lt;=ExplicitEnd,1,0)</f>
        <v>1.0</v>
      </c>
      <c r="F11" s="34">
        <f>IF(F6&lt;=ExplicitEnd,1,0)</f>
        <v>1.0</v>
      </c>
      <c r="G11" s="34">
        <f>IF(G6&lt;=ExplicitEnd,1,0)</f>
        <v>1.0</v>
      </c>
      <c r="H11" s="34">
        <f>IF(H6&lt;=ExplicitEnd,1,0)</f>
        <v>1.0</v>
      </c>
      <c r="I11" s="34">
        <f>IF(I6&lt;=ExplicitEnd,1,0)</f>
        <v>1.0</v>
      </c>
      <c r="J11" s="34">
        <f>IF(J6&lt;=ExplicitEnd,1,0)</f>
        <v>1.0</v>
      </c>
      <c r="K11" s="34">
        <f>IF(K6&lt;=ExplicitEnd,1,0)</f>
        <v>0.0</v>
      </c>
      <c r="L11" s="34">
        <f>IF(L6&lt;=ExplicitEnd,1,0)</f>
        <v>0.0</v>
      </c>
      <c r="M11" s="34">
        <f>IF(M6&lt;=ExplicitEnd,1,0)</f>
        <v>0.0</v>
      </c>
      <c r="N11" s="34">
        <f>IF(N6&lt;=ExplicitEnd,1,0)</f>
        <v>0.0</v>
      </c>
      <c r="O11" s="34">
        <f>IF(O6&lt;=ExplicitEnd,1,0)</f>
        <v>0.0</v>
      </c>
      <c r="P11" s="34">
        <f>IF(P6&lt;=ExplicitEnd,1,0)</f>
        <v>0.0</v>
      </c>
      <c r="Q11" s="34">
        <f>IF(Q6&lt;=ExplicitEnd,1,0)</f>
        <v>0.0</v>
      </c>
      <c r="R11" s="34">
        <f>IF(R6&lt;=ExplicitEnd,1,0)</f>
        <v>0.0</v>
      </c>
    </row>
    <row r="12" spans="1:18">
      <c r="A12" s="7" t="s">
        <v>463</v>
      </c>
      <c r="B12" s="9" t="s">
        <v>16</v>
      </c>
      <c r="D12" s="30">
        <f>IF(D11=1,Forecast!$C$41+(GTermCfg-Forecast!$C$41)*MIN(D6-YEAR(CfStart),FadeTo-YEAR(CfStart))/(FadeTo-YEAR(CfStart)),Forecast!$C$43-(D6-ExplicitEnd)*(Forecast!$C$43-GTermCfg)/FadeYears)</f>
        <v>-0.005579808399000593</v>
      </c>
      <c r="E12" s="30">
        <f>IF(E11=1,Forecast!$C$41+(GTermCfg-Forecast!$C$41)*MIN(E6-YEAR(CfStart),FadeTo-YEAR(CfStart))/(FadeTo-YEAR(CfStart)),Forecast!$C$43-(E6-ExplicitEnd)*(Forecast!$C$43-GTermCfg)/FadeYears)</f>
        <v>0.0008151437007495547</v>
      </c>
      <c r="F12" s="30">
        <f>IF(F11=1,Forecast!$C$41+(GTermCfg-Forecast!$C$41)*MIN(F6-YEAR(CfStart),FadeTo-YEAR(CfStart))/(FadeTo-YEAR(CfStart)),Forecast!$C$43-(F6-ExplicitEnd)*(Forecast!$C$43-GTermCfg)/FadeYears)</f>
        <v>0.007210095800499703</v>
      </c>
      <c r="G12" s="30">
        <f>IF(G11=1,Forecast!$C$41+(GTermCfg-Forecast!$C$41)*MIN(G6-YEAR(CfStart),FadeTo-YEAR(CfStart))/(FadeTo-YEAR(CfStart)),Forecast!$C$43-(G6-ExplicitEnd)*(Forecast!$C$43-GTermCfg)/FadeYears)</f>
        <v>0.01360504790024985</v>
      </c>
      <c r="H12" s="30">
        <f>IF(H11=1,Forecast!$C$41+(GTermCfg-Forecast!$C$41)*MIN(H6-YEAR(CfStart),FadeTo-YEAR(CfStart))/(FadeTo-YEAR(CfStart)),Forecast!$C$43-(H6-ExplicitEnd)*(Forecast!$C$43-GTermCfg)/FadeYears)</f>
        <v>0.019999999999999997</v>
      </c>
      <c r="I12" s="30">
        <f>IF(I11=1,Forecast!$C$41+(GTermCfg-Forecast!$C$41)*MIN(I6-YEAR(CfStart),FadeTo-YEAR(CfStart))/(FadeTo-YEAR(CfStart)),Forecast!$C$43-(I6-ExplicitEnd)*(Forecast!$C$43-GTermCfg)/FadeYears)</f>
        <v>0.019999999999999997</v>
      </c>
      <c r="J12" s="30">
        <f>IF(J11=1,Forecast!$C$41+(GTermCfg-Forecast!$C$41)*MIN(J6-YEAR(CfStart),FadeTo-YEAR(CfStart))/(FadeTo-YEAR(CfStart)),Forecast!$C$43-(J6-ExplicitEnd)*(Forecast!$C$43-GTermCfg)/FadeYears)</f>
        <v>0.019999999999999997</v>
      </c>
      <c r="K12" s="30">
        <f>IF(K11=1,Forecast!$C$41+(GTermCfg-Forecast!$C$41)*MIN(K6-YEAR(CfStart),FadeTo-YEAR(CfStart))/(FadeTo-YEAR(CfStart)),Forecast!$C$43-(K6-ExplicitEnd)*(Forecast!$C$43-GTermCfg)/FadeYears)</f>
        <v>0.019999999999999997</v>
      </c>
      <c r="L12" s="30">
        <f>IF(L11=1,Forecast!$C$41+(GTermCfg-Forecast!$C$41)*MIN(L6-YEAR(CfStart),FadeTo-YEAR(CfStart))/(FadeTo-YEAR(CfStart)),Forecast!$C$43-(L6-ExplicitEnd)*(Forecast!$C$43-GTermCfg)/FadeYears)</f>
        <v>0.019999999999999997</v>
      </c>
      <c r="M12" s="30">
        <f>IF(M11=1,Forecast!$C$41+(GTermCfg-Forecast!$C$41)*MIN(M6-YEAR(CfStart),FadeTo-YEAR(CfStart))/(FadeTo-YEAR(CfStart)),Forecast!$C$43-(M6-ExplicitEnd)*(Forecast!$C$43-GTermCfg)/FadeYears)</f>
        <v>0.019999999999999997</v>
      </c>
      <c r="N12" s="30">
        <f>IF(N11=1,Forecast!$C$41+(GTermCfg-Forecast!$C$41)*MIN(N6-YEAR(CfStart),FadeTo-YEAR(CfStart))/(FadeTo-YEAR(CfStart)),Forecast!$C$43-(N6-ExplicitEnd)*(Forecast!$C$43-GTermCfg)/FadeYears)</f>
        <v>0.019999999999999997</v>
      </c>
      <c r="O12" s="30">
        <f>IF(O11=1,Forecast!$C$41+(GTermCfg-Forecast!$C$41)*MIN(O6-YEAR(CfStart),FadeTo-YEAR(CfStart))/(FadeTo-YEAR(CfStart)),Forecast!$C$43-(O6-ExplicitEnd)*(Forecast!$C$43-GTermCfg)/FadeYears)</f>
        <v>0.02</v>
      </c>
      <c r="P12" s="30">
        <f>IF(P11=1,Forecast!$C$41+(GTermCfg-Forecast!$C$41)*MIN(P6-YEAR(CfStart),FadeTo-YEAR(CfStart))/(FadeTo-YEAR(CfStart)),Forecast!$C$43-(P6-ExplicitEnd)*(Forecast!$C$43-GTermCfg)/FadeYears)</f>
        <v>0.02</v>
      </c>
      <c r="Q12" s="30">
        <f>IF(Q11=1,Forecast!$C$41+(GTermCfg-Forecast!$C$41)*MIN(Q6-YEAR(CfStart),FadeTo-YEAR(CfStart))/(FadeTo-YEAR(CfStart)),Forecast!$C$43-(Q6-ExplicitEnd)*(Forecast!$C$43-GTermCfg)/FadeYears)</f>
        <v>0.02</v>
      </c>
      <c r="R12" s="30">
        <f>IF(R11=1,Forecast!$C$41+(GTermCfg-Forecast!$C$41)*MIN(R6-YEAR(CfStart),FadeTo-YEAR(CfStart))/(FadeTo-YEAR(CfStart)),Forecast!$C$43-(R6-ExplicitEnd)*(Forecast!$C$43-GTermCfg)/FadeYears)</f>
        <v>0.02</v>
      </c>
    </row>
    <row r="13" spans="1:18">
      <c r="A13" s="7" t="s">
        <v>464</v>
      </c>
      <c r="B13" s="9" t="s">
        <v>132</v>
      </c>
      <c r="D13" s="27">
        <f>IF(D5=1,RevFY_Last*(1+D12),C13*(1+D12))</f>
        <v>3666.4057351353</v>
      </c>
      <c r="E13" s="27">
        <f>IF(E5=1,RevFY_Last*(1+E12),D13*(1+E12))</f>
        <v>3669.394382674687</v>
      </c>
      <c r="F13" s="27">
        <f>IF(F5=1,RevFY_Last*(1+F12),E13*(1+F12))</f>
        <v>3695.851067703587</v>
      </c>
      <c r="G13" s="27">
        <f>IF(G5=1,RevFY_Last*(1+G12),F13*(1+G12))</f>
        <v>3746.133298511884</v>
      </c>
      <c r="H13" s="27">
        <f>IF(H5=1,RevFY_Last*(1+H12),G13*(1+H12))</f>
        <v>3821.0559644821215</v>
      </c>
      <c r="I13" s="27">
        <f>IF(I5=1,RevFY_Last*(1+I12),H13*(1+I12))</f>
        <v>3897.477083771764</v>
      </c>
      <c r="J13" s="27">
        <f>IF(J5=1,RevFY_Last*(1+J12),I13*(1+J12))</f>
        <v>3975.426625447199</v>
      </c>
      <c r="K13" s="27">
        <f>IF(K5=1,RevFY_Last*(1+K12),J13*(1+K12))</f>
        <v>4054.935157956143</v>
      </c>
      <c r="L13" s="27">
        <f>IF(L5=1,RevFY_Last*(1+L12),K13*(1+L12))</f>
        <v>4136.033861115266</v>
      </c>
      <c r="M13" s="27">
        <f>IF(M5=1,RevFY_Last*(1+M12),L13*(1+M12))</f>
        <v>4218.754538337571</v>
      </c>
      <c r="N13" s="27">
        <f>IF(N5=1,RevFY_Last*(1+N12),M13*(1+N12))</f>
        <v>4303.129629104323</v>
      </c>
      <c r="O13" s="27">
        <f>IF(O5=1,RevFY_Last*(1+O12),N13*(1+O12))</f>
        <v>4389.1922216864095</v>
      </c>
      <c r="P13" s="27">
        <f>IF(P5=1,RevFY_Last*(1+P12),O13*(1+P12))</f>
        <v>4476.976066120138</v>
      </c>
      <c r="Q13" s="27">
        <f>IF(Q5=1,RevFY_Last*(1+Q12),P13*(1+Q12))</f>
        <v>4566.515587442541</v>
      </c>
      <c r="R13" s="27">
        <f>IF(R5=1,RevFY_Last*(1+R12),Q13*(1+R12))</f>
        <v>4657.845899191392</v>
      </c>
    </row>
    <row r="14" spans="1:18">
      <c r="A14" s="7" t="s">
        <v>465</v>
      </c>
      <c r="B14" s="9" t="s">
        <v>132</v>
      </c>
      <c r="D14" s="27">
        <f>IF(D5=1,D13-H1Rev,D13)</f>
        <v>1966.9531781352998</v>
      </c>
      <c r="E14" s="27">
        <f>IF(E5=1,E13-H1Rev,E13)</f>
        <v>3669.394382674687</v>
      </c>
      <c r="F14" s="27">
        <f>IF(F5=1,F13-H1Rev,F13)</f>
        <v>3695.851067703587</v>
      </c>
      <c r="G14" s="27">
        <f>IF(G5=1,G13-H1Rev,G13)</f>
        <v>3746.133298511884</v>
      </c>
      <c r="H14" s="27">
        <f>IF(H5=1,H13-H1Rev,H13)</f>
        <v>3821.0559644821215</v>
      </c>
      <c r="I14" s="27">
        <f>IF(I5=1,I13-H1Rev,I13)</f>
        <v>3897.477083771764</v>
      </c>
      <c r="J14" s="27">
        <f>IF(J5=1,J13-H1Rev,J13)</f>
        <v>3975.426625447199</v>
      </c>
      <c r="K14" s="27">
        <f>IF(K5=1,K13-H1Rev,K13)</f>
        <v>4054.935157956143</v>
      </c>
      <c r="L14" s="27">
        <f>IF(L5=1,L13-H1Rev,L13)</f>
        <v>4136.033861115266</v>
      </c>
      <c r="M14" s="27">
        <f>IF(M5=1,M13-H1Rev,M13)</f>
        <v>4218.754538337571</v>
      </c>
      <c r="N14" s="27">
        <f>IF(N5=1,N13-H1Rev,N13)</f>
        <v>4303.129629104323</v>
      </c>
      <c r="O14" s="27">
        <f>IF(O5=1,O13-H1Rev,O13)</f>
        <v>4389.1922216864095</v>
      </c>
      <c r="P14" s="27">
        <f>IF(P5=1,P13-H1Rev,P13)</f>
        <v>4476.976066120138</v>
      </c>
      <c r="Q14" s="27">
        <f>IF(Q5=1,Q13-H1Rev,Q13)</f>
        <v>4566.515587442541</v>
      </c>
      <c r="R14" s="27">
        <f>IF(R5=1,R13-H1Rev,R13)</f>
        <v>4657.845899191392</v>
      </c>
    </row>
    <row r="15" spans="1:18">
      <c r="A15" s="7" t="s">
        <v>466</v>
      </c>
      <c r="B15" s="9" t="s">
        <v>132</v>
      </c>
      <c r="D15" s="27">
        <f>D14*(Forecast!$C$42+MarginConvAmt*MIN((D6-YEAR(CfStart))/(ExplicitEnd-YEAR(CfStart)),1))</f>
        <v>-10.720779224259124</v>
      </c>
      <c r="E15" s="27">
        <f>E14*(Forecast!$C$42+MarginConvAmt*MIN((E6-YEAR(CfStart))/(ExplicitEnd-YEAR(CfStart)),1))</f>
        <v>13.331030797008914</v>
      </c>
      <c r="F15" s="27">
        <f>F14*(Forecast!$C$42+MarginConvAmt*MIN((F6-YEAR(CfStart))/(ExplicitEnd-YEAR(CfStart)),1))</f>
        <v>46.99834770110411</v>
      </c>
      <c r="G15" s="27">
        <f>G14*(Forecast!$C$42+MarginConvAmt*MIN((G6-YEAR(CfStart))/(ExplicitEnd-YEAR(CfStart)),1))</f>
        <v>81.66569913677392</v>
      </c>
      <c r="H15" s="27">
        <f>H14*(Forecast!$C$42+MarginConvAmt*MIN((H6-YEAR(CfStart))/(ExplicitEnd-YEAR(CfStart)),1))</f>
        <v>118.00750851675234</v>
      </c>
      <c r="I15" s="27">
        <f>I14*(Forecast!$C$42+MarginConvAmt*MIN((I6-YEAR(CfStart))/(ExplicitEnd-YEAR(CfStart)),1))</f>
        <v>155.7703239922752</v>
      </c>
      <c r="J15" s="27">
        <f>J14*(Forecast!$C$42+MarginConvAmt*MIN((J6-YEAR(CfStart))/(ExplicitEnd-YEAR(CfStart)),1))</f>
        <v>194.99644908341227</v>
      </c>
      <c r="K15" s="27">
        <f>K14*(Forecast!$C$42+MarginConvAmt*MIN((K6-YEAR(CfStart))/(ExplicitEnd-YEAR(CfStart)),1))</f>
        <v>198.89637806508054</v>
      </c>
      <c r="L15" s="27">
        <f>L14*(Forecast!$C$42+MarginConvAmt*MIN((L6-YEAR(CfStart))/(ExplicitEnd-YEAR(CfStart)),1))</f>
        <v>202.87430562638212</v>
      </c>
      <c r="M15" s="27">
        <f>M14*(Forecast!$C$42+MarginConvAmt*MIN((M6-YEAR(CfStart))/(ExplicitEnd-YEAR(CfStart)),1))</f>
        <v>206.93179173890977</v>
      </c>
      <c r="N15" s="27">
        <f>N14*(Forecast!$C$42+MarginConvAmt*MIN((N6-YEAR(CfStart))/(ExplicitEnd-YEAR(CfStart)),1))</f>
        <v>211.070427573688</v>
      </c>
      <c r="O15" s="27">
        <f>O14*(Forecast!$C$42+MarginConvAmt*MIN((O6-YEAR(CfStart))/(ExplicitEnd-YEAR(CfStart)),1))</f>
        <v>215.29183612516175</v>
      </c>
      <c r="P15" s="27">
        <f>P14*(Forecast!$C$42+MarginConvAmt*MIN((P6-YEAR(CfStart))/(ExplicitEnd-YEAR(CfStart)),1))</f>
        <v>219.59767284766502</v>
      </c>
      <c r="Q15" s="27">
        <f>Q14*(Forecast!$C$42+MarginConvAmt*MIN((Q6-YEAR(CfStart))/(ExplicitEnd-YEAR(CfStart)),1))</f>
        <v>223.98962630461833</v>
      </c>
      <c r="R15" s="27">
        <f>R14*(Forecast!$C$42+MarginConvAmt*MIN((R6-YEAR(CfStart))/(ExplicitEnd-YEAR(CfStart)),1))</f>
        <v>228.4694188307107</v>
      </c>
    </row>
    <row r="16" spans="1:18">
      <c r="A16" s="7" t="s">
        <v>467</v>
      </c>
      <c r="B16" s="9" t="s">
        <v>132</v>
      </c>
      <c r="D16" s="27">
        <f>IF(D5=1,H1Op+D15,D15)</f>
        <v>-269.9936122242591</v>
      </c>
      <c r="E16" s="27">
        <f>IF(E5=1,H1Op+E15,E15)</f>
        <v>13.331030797008914</v>
      </c>
      <c r="F16" s="27">
        <f>IF(F5=1,H1Op+F15,F15)</f>
        <v>46.99834770110411</v>
      </c>
      <c r="G16" s="27">
        <f>IF(G5=1,H1Op+G15,G15)</f>
        <v>81.66569913677392</v>
      </c>
      <c r="H16" s="27">
        <f>IF(H5=1,H1Op+H15,H15)</f>
        <v>118.00750851675234</v>
      </c>
      <c r="I16" s="27">
        <f>IF(I5=1,H1Op+I15,I15)</f>
        <v>155.7703239922752</v>
      </c>
      <c r="J16" s="27">
        <f>IF(J5=1,H1Op+J15,J15)</f>
        <v>194.99644908341227</v>
      </c>
      <c r="K16" s="27">
        <f>IF(K5=1,H1Op+K15,K15)</f>
        <v>198.89637806508054</v>
      </c>
      <c r="L16" s="27">
        <f>IF(L5=1,H1Op+L15,L15)</f>
        <v>202.87430562638212</v>
      </c>
      <c r="M16" s="27">
        <f>IF(M5=1,H1Op+M15,M15)</f>
        <v>206.93179173890977</v>
      </c>
      <c r="N16" s="27">
        <f>IF(N5=1,H1Op+N15,N15)</f>
        <v>211.070427573688</v>
      </c>
      <c r="O16" s="27">
        <f>IF(O5=1,H1Op+O15,O15)</f>
        <v>215.29183612516175</v>
      </c>
      <c r="P16" s="27">
        <f>IF(P5=1,H1Op+P15,P15)</f>
        <v>219.59767284766502</v>
      </c>
      <c r="Q16" s="27">
        <f>IF(Q5=1,H1Op+Q15,Q15)</f>
        <v>223.98962630461833</v>
      </c>
      <c r="R16" s="27">
        <f>IF(R5=1,H1Op+R15,R15)</f>
        <v>228.4694188307107</v>
      </c>
    </row>
    <row r="17" spans="1:18">
      <c r="A17" s="7" t="s">
        <v>468</v>
      </c>
      <c r="B17" s="9" t="s">
        <v>132</v>
      </c>
      <c r="D17" s="27">
        <f>IF(D11=1,D14*DnaRatio,0)</f>
        <v>47.53287437950451</v>
      </c>
      <c r="E17" s="27">
        <f>IF(E11=1,E14*DnaRatio,0)</f>
        <v>88.67362181233268</v>
      </c>
      <c r="F17" s="27">
        <f>IF(F11=1,F14*DnaRatio,0)</f>
        <v>89.31296712057689</v>
      </c>
      <c r="G17" s="27">
        <f>IF(G11=1,G14*DnaRatio,0)</f>
        <v>90.52807431636577</v>
      </c>
      <c r="H17" s="27">
        <f>IF(H11=1,H14*DnaRatio,0)</f>
        <v>92.33863580269309</v>
      </c>
      <c r="I17" s="27">
        <f>IF(I11=1,I14*DnaRatio,0)</f>
        <v>94.18540851874694</v>
      </c>
      <c r="J17" s="27">
        <f>IF(J11=1,J14*DnaRatio,0)</f>
        <v>96.06911668912188</v>
      </c>
      <c r="K17" s="27">
        <f>IF(K11=1,K14*DnaRatio,0)</f>
        <v>0.0</v>
      </c>
      <c r="L17" s="27">
        <f>IF(L11=1,L14*DnaRatio,0)</f>
        <v>0.0</v>
      </c>
      <c r="M17" s="27">
        <f>IF(M11=1,M14*DnaRatio,0)</f>
        <v>0.0</v>
      </c>
      <c r="N17" s="27">
        <f>IF(N11=1,N14*DnaRatio,0)</f>
        <v>0.0</v>
      </c>
      <c r="O17" s="27">
        <f>IF(O11=1,O14*DnaRatio,0)</f>
        <v>0.0</v>
      </c>
      <c r="P17" s="27">
        <f>IF(P11=1,P14*DnaRatio,0)</f>
        <v>0.0</v>
      </c>
      <c r="Q17" s="27">
        <f>IF(Q11=1,Q14*DnaRatio,0)</f>
        <v>0.0</v>
      </c>
      <c r="R17" s="27">
        <f>IF(R11=1,R14*DnaRatio,0)</f>
        <v>0.0</v>
      </c>
    </row>
    <row r="18" spans="1:18">
      <c r="A18" s="7" t="s">
        <v>469</v>
      </c>
      <c r="B18" s="9" t="s">
        <v>132</v>
      </c>
      <c r="D18" s="27">
        <f>IF(D11=1,D14*CapexRatio,0)</f>
        <v>25.80415385510542</v>
      </c>
      <c r="E18" s="27">
        <f>IF(E11=1,E14*CapexRatio,0)</f>
        <v>48.138216129455884</v>
      </c>
      <c r="F18" s="27">
        <f>IF(F11=1,F14*CapexRatio,0)</f>
        <v>48.48529727941442</v>
      </c>
      <c r="G18" s="27">
        <f>IF(G11=1,G14*CapexRatio,0)</f>
        <v>49.144942071358706</v>
      </c>
      <c r="H18" s="27">
        <f>IF(H11=1,H14*CapexRatio,0)</f>
        <v>50.12784091278588</v>
      </c>
      <c r="I18" s="27">
        <f>IF(I11=1,I14*CapexRatio,0)</f>
        <v>51.1303977310416</v>
      </c>
      <c r="J18" s="27">
        <f>IF(J11=1,J14*CapexRatio,0)</f>
        <v>52.15300568566243</v>
      </c>
      <c r="K18" s="27">
        <f>IF(K11=1,K14*CapexRatio,0)</f>
        <v>0.0</v>
      </c>
      <c r="L18" s="27">
        <f>IF(L11=1,L14*CapexRatio,0)</f>
        <v>0.0</v>
      </c>
      <c r="M18" s="27">
        <f>IF(M11=1,M14*CapexRatio,0)</f>
        <v>0.0</v>
      </c>
      <c r="N18" s="27">
        <f>IF(N11=1,N14*CapexRatio,0)</f>
        <v>0.0</v>
      </c>
      <c r="O18" s="27">
        <f>IF(O11=1,O14*CapexRatio,0)</f>
        <v>0.0</v>
      </c>
      <c r="P18" s="27">
        <f>IF(P11=1,P14*CapexRatio,0)</f>
        <v>0.0</v>
      </c>
      <c r="Q18" s="27">
        <f>IF(Q11=1,Q14*CapexRatio,0)</f>
        <v>0.0</v>
      </c>
      <c r="R18" s="27">
        <f>IF(R11=1,R14*CapexRatio,0)</f>
        <v>0.0</v>
      </c>
    </row>
    <row r="19" spans="1:18">
      <c r="A19" s="7" t="s">
        <v>470</v>
      </c>
      <c r="B19" s="9" t="s">
        <v>132</v>
      </c>
      <c r="C19" s="27">
        <f>NWC_Open</f>
        <v>304.03031599999997</v>
      </c>
      <c r="D19" s="27">
        <f>IF(D11=1,D13*DSO/DaysYr+D13*COGSR*DIO/DaysYr-D13*COGSR*DPO/DaysYr,C19)</f>
        <v>143.08090364581062</v>
      </c>
      <c r="E19" s="27">
        <f>IF(E11=1,E13*DSO/DaysYr+E13*COGSR*DIO/DaysYr-E13*COGSR*DPO/DaysYr,D19)</f>
        <v>143.19753514311492</v>
      </c>
      <c r="F19" s="27">
        <f>IF(F11=1,F13*DSO/DaysYr+F13*COGSR*DIO/DaysYr-F13*COGSR*DPO/DaysYr,E19)</f>
        <v>144.23000308989253</v>
      </c>
      <c r="G19" s="27">
        <f>IF(G11=1,G13*DSO/DaysYr+G13*COGSR*DIO/DaysYr-G13*COGSR*DPO/DaysYr,F19)</f>
        <v>146.19225919058363</v>
      </c>
      <c r="H19" s="27">
        <f>IF(H11=1,H13*DSO/DaysYr+H13*COGSR*DIO/DaysYr-H13*COGSR*DPO/DaysYr,G19)</f>
        <v>149.11610437439504</v>
      </c>
      <c r="I19" s="27">
        <f>IF(I11=1,I13*DSO/DaysYr+I13*COGSR*DIO/DaysYr-I13*COGSR*DPO/DaysYr,H19)</f>
        <v>152.09842646188304</v>
      </c>
      <c r="J19" s="27">
        <f>IF(J11=1,J13*DSO/DaysYr+J13*COGSR*DIO/DaysYr-J13*COGSR*DPO/DaysYr,I19)</f>
        <v>155.14039499112073</v>
      </c>
      <c r="K19" s="27">
        <f>IF(K11=1,K13*DSO/DaysYr+K13*COGSR*DIO/DaysYr-K13*COGSR*DPO/DaysYr,J19)</f>
        <v>155.14039499112073</v>
      </c>
      <c r="L19" s="27">
        <f>IF(L11=1,L13*DSO/DaysYr+L13*COGSR*DIO/DaysYr-L13*COGSR*DPO/DaysYr,K19)</f>
        <v>155.14039499112073</v>
      </c>
      <c r="M19" s="27">
        <f>IF(M11=1,M13*DSO/DaysYr+M13*COGSR*DIO/DaysYr-M13*COGSR*DPO/DaysYr,L19)</f>
        <v>155.14039499112073</v>
      </c>
      <c r="N19" s="27">
        <f>IF(N11=1,N13*DSO/DaysYr+N13*COGSR*DIO/DaysYr-N13*COGSR*DPO/DaysYr,M19)</f>
        <v>155.14039499112073</v>
      </c>
      <c r="O19" s="27">
        <f>IF(O11=1,O13*DSO/DaysYr+O13*COGSR*DIO/DaysYr-O13*COGSR*DPO/DaysYr,N19)</f>
        <v>155.14039499112073</v>
      </c>
      <c r="P19" s="27">
        <f>IF(P11=1,P13*DSO/DaysYr+P13*COGSR*DIO/DaysYr-P13*COGSR*DPO/DaysYr,O19)</f>
        <v>155.14039499112073</v>
      </c>
      <c r="Q19" s="27">
        <f>IF(Q11=1,Q13*DSO/DaysYr+Q13*COGSR*DIO/DaysYr-Q13*COGSR*DPO/DaysYr,P19)</f>
        <v>155.14039499112073</v>
      </c>
      <c r="R19" s="27">
        <f>IF(R11=1,R13*DSO/DaysYr+R13*COGSR*DIO/DaysYr-R13*COGSR*DPO/DaysYr,Q19)</f>
        <v>155.14039499112073</v>
      </c>
    </row>
    <row r="20" spans="1:18">
      <c r="A20" s="7" t="s">
        <v>471</v>
      </c>
      <c r="B20" s="9" t="s">
        <v>132</v>
      </c>
      <c r="D20" s="40">
        <f>IF(D11=1,D19-C19,0)</f>
        <v>-160.94941235418935</v>
      </c>
      <c r="E20" s="40">
        <f>IF(E11=1,E19-D19,0)</f>
        <v>0.11663149730429723</v>
      </c>
      <c r="F20" s="40">
        <f>IF(F11=1,F19-E19,0)</f>
        <v>1.032467946777615</v>
      </c>
      <c r="G20" s="40">
        <f>IF(G11=1,G19-F19,0)</f>
        <v>1.9622561006910928</v>
      </c>
      <c r="H20" s="40">
        <f>IF(H11=1,H19-G19,0)</f>
        <v>2.923845183811409</v>
      </c>
      <c r="I20" s="40">
        <f>IF(I11=1,I19-H19,0)</f>
        <v>2.9823220874880008</v>
      </c>
      <c r="J20" s="40">
        <f>IF(J11=1,J19-I19,0)</f>
        <v>3.0419685292376926</v>
      </c>
      <c r="K20" s="40">
        <f>IF(K11=1,K19-J19,0)</f>
        <v>0.0</v>
      </c>
      <c r="L20" s="40">
        <f>IF(L11=1,L19-K19,0)</f>
        <v>0.0</v>
      </c>
      <c r="M20" s="40">
        <f>IF(M11=1,M19-L19,0)</f>
        <v>0.0</v>
      </c>
      <c r="N20" s="40">
        <f>IF(N11=1,N19-M19,0)</f>
        <v>0.0</v>
      </c>
      <c r="O20" s="40">
        <f>IF(O11=1,O19-N19,0)</f>
        <v>0.0</v>
      </c>
      <c r="P20" s="40">
        <f>IF(P11=1,P19-O19,0)</f>
        <v>0.0</v>
      </c>
      <c r="Q20" s="40">
        <f>IF(Q11=1,Q19-P19,0)</f>
        <v>0.0</v>
      </c>
      <c r="R20" s="40">
        <f>IF(R11=1,R19-Q19,0)</f>
        <v>0.0</v>
      </c>
    </row>
    <row r="21" spans="1:18">
      <c r="A21" s="7" t="s">
        <v>472</v>
      </c>
      <c r="B21" s="9" t="s">
        <v>16</v>
      </c>
      <c r="D21" s="30">
        <f>IF(D16&gt;0,IF(D16&gt;0,SUMPRODUCT((D16&gt;TaxFrom)*(D16-TaxFrom)*TaxDRate),0)/D16,0)</f>
        <v>0.0</v>
      </c>
      <c r="E21" s="30">
        <f>IF(E16&gt;0,IF(E16&gt;0,SUMPRODUCT((E16&gt;TaxFrom)*(E16-TaxFrom)*TaxDRate),0)/E16,0)</f>
        <v>0.11</v>
      </c>
      <c r="F21" s="30">
        <f>IF(F16&gt;0,IF(F16&gt;0,SUMPRODUCT((F16&gt;TaxFrom)*(F16-TaxFrom)*TaxDRate),0)/F16,0)</f>
        <v>0.11000000000000001</v>
      </c>
      <c r="G21" s="30">
        <f>IF(G16&gt;0,IF(G16&gt;0,SUMPRODUCT((G16&gt;TaxFrom)*(G16-TaxFrom)*TaxDRate),0)/G16,0)</f>
        <v>0.11000000000000001</v>
      </c>
      <c r="H21" s="30">
        <f>IF(H16&gt;0,IF(H16&gt;0,SUMPRODUCT((H16&gt;TaxFrom)*(H16-TaxFrom)*TaxDRate),0)/H16,0)</f>
        <v>0.11</v>
      </c>
      <c r="I21" s="30">
        <f>IF(I16&gt;0,IF(I16&gt;0,SUMPRODUCT((I16&gt;TaxFrom)*(I16-TaxFrom)*TaxDRate),0)/I16,0)</f>
        <v>0.11</v>
      </c>
      <c r="J21" s="30">
        <f>IF(J16&gt;0,IF(J16&gt;0,SUMPRODUCT((J16&gt;TaxFrom)*(J16-TaxFrom)*TaxDRate),0)/J16,0)</f>
        <v>0.11</v>
      </c>
      <c r="K21" s="30">
        <f>IF(K16&gt;0,IF(K16&gt;0,SUMPRODUCT((K16&gt;TaxFrom)*(K16-TaxFrom)*TaxDRate),0)/K16,0)</f>
        <v>0.10999999999999999</v>
      </c>
      <c r="L21" s="30">
        <f>IF(L16&gt;0,IF(L16&gt;0,SUMPRODUCT((L16&gt;TaxFrom)*(L16-TaxFrom)*TaxDRate),0)/L16,0)</f>
        <v>0.11155847049199176</v>
      </c>
      <c r="M21" s="30">
        <f>IF(M16&gt;0,IF(M16&gt;0,SUMPRODUCT((M16&gt;TaxFrom)*(M16-TaxFrom)*TaxDRate),0)/M16,0)</f>
        <v>0.11368477499214878</v>
      </c>
      <c r="N21" s="30">
        <f>IF(N16&gt;0,IF(N16&gt;0,SUMPRODUCT((N16&gt;TaxFrom)*(N16-TaxFrom)*TaxDRate),0)/N16,0)</f>
        <v>0.11576938724720472</v>
      </c>
      <c r="O21" s="30">
        <f>IF(O16&gt;0,IF(O16&gt;0,SUMPRODUCT((O16&gt;TaxFrom)*(O16-TaxFrom)*TaxDRate),0)/O16,0)</f>
        <v>0.11781312475216148</v>
      </c>
      <c r="P21" s="30">
        <f>IF(P16&gt;0,IF(P16&gt;0,SUMPRODUCT((P16&gt;TaxFrom)*(P16-TaxFrom)*TaxDRate),0)/P16,0)</f>
        <v>0.11981678897270735</v>
      </c>
      <c r="Q21" s="30">
        <f>IF(Q16&gt;0,IF(Q16&gt;0,SUMPRODUCT((Q16&gt;TaxFrom)*(Q16-TaxFrom)*TaxDRate),0)/Q16,0)</f>
        <v>0.121781165659517</v>
      </c>
      <c r="R21" s="30">
        <f>IF(R16&gt;0,IF(R16&gt;0,SUMPRODUCT((R16&gt;TaxFrom)*(R16-TaxFrom)*TaxDRate),0)/R16,0)</f>
        <v>0.12370702515638923</v>
      </c>
    </row>
    <row r="22" spans="1:18">
      <c r="A22" s="7" t="s">
        <v>473</v>
      </c>
      <c r="B22" s="9" t="s">
        <v>132</v>
      </c>
      <c r="D22" s="40">
        <f>MAX(D15,0)*D21</f>
        <v>0.0</v>
      </c>
      <c r="E22" s="40">
        <f>MAX(E15,0)*E21</f>
        <v>1.4664133876709806</v>
      </c>
      <c r="F22" s="40">
        <f>MAX(F15,0)*F21</f>
        <v>5.169818247121452</v>
      </c>
      <c r="G22" s="40">
        <f>MAX(G15,0)*G21</f>
        <v>8.983226905045132</v>
      </c>
      <c r="H22" s="40">
        <f>MAX(H15,0)*H21</f>
        <v>12.980825936842757</v>
      </c>
      <c r="I22" s="40">
        <f>MAX(I15,0)*I21</f>
        <v>17.13473563915027</v>
      </c>
      <c r="J22" s="40">
        <f>MAX(J15,0)*J21</f>
        <v>21.44960939917535</v>
      </c>
      <c r="K22" s="40">
        <f>MAX(K15,0)*K21</f>
        <v>21.878601587158858</v>
      </c>
      <c r="L22" s="40">
        <f>MAX(L15,0)*L21</f>
        <v>22.63234723780407</v>
      </c>
      <c r="M22" s="40">
        <f>MAX(M15,0)*M21</f>
        <v>23.52499418256015</v>
      </c>
      <c r="N22" s="40">
        <f>MAX(N15,0)*N21</f>
        <v>24.435494066211362</v>
      </c>
      <c r="O22" s="40">
        <f>MAX(O15,0)*O21</f>
        <v>25.364203947535586</v>
      </c>
      <c r="P22" s="40">
        <f>MAX(P15,0)*P21</f>
        <v>26.31148802648631</v>
      </c>
      <c r="Q22" s="40">
        <f>MAX(Q15,0)*Q21</f>
        <v>27.27771778701603</v>
      </c>
      <c r="R22" s="40">
        <f>MAX(R15,0)*R21</f>
        <v>28.263272142756357</v>
      </c>
    </row>
    <row r="23" spans="1:18">
      <c r="A23" s="7" t="s">
        <v>474</v>
      </c>
      <c r="B23" s="9" t="s">
        <v>132</v>
      </c>
      <c r="D23" s="40">
        <f>D15-D22</f>
        <v>-10.720779224259124</v>
      </c>
      <c r="E23" s="40">
        <f>E15-E22</f>
        <v>11.864617409337933</v>
      </c>
      <c r="F23" s="40">
        <f>F15-F22</f>
        <v>41.828529453982654</v>
      </c>
      <c r="G23" s="40">
        <f>G15-G22</f>
        <v>72.6824722317288</v>
      </c>
      <c r="H23" s="40">
        <f>H15-H22</f>
        <v>105.02668257990958</v>
      </c>
      <c r="I23" s="40">
        <f>I15-I22</f>
        <v>138.63558835312492</v>
      </c>
      <c r="J23" s="40">
        <f>J15-J22</f>
        <v>173.54683968423691</v>
      </c>
      <c r="K23" s="40">
        <f>K15-K22</f>
        <v>177.01777647792167</v>
      </c>
      <c r="L23" s="40">
        <f>L15-L22</f>
        <v>180.24195838857804</v>
      </c>
      <c r="M23" s="40">
        <f>M15-M22</f>
        <v>183.4067975563496</v>
      </c>
      <c r="N23" s="40">
        <f>N15-N22</f>
        <v>186.63493350747663</v>
      </c>
      <c r="O23" s="40">
        <f>O15-O22</f>
        <v>189.92763217762615</v>
      </c>
      <c r="P23" s="40">
        <f>P15-P22</f>
        <v>193.28618482117872</v>
      </c>
      <c r="Q23" s="40">
        <f>Q15-Q22</f>
        <v>196.7119085176023</v>
      </c>
      <c r="R23" s="40">
        <f>R15-R22</f>
        <v>200.20614668795434</v>
      </c>
    </row>
    <row r="24" spans="1:18">
      <c r="A24" s="7" t="s">
        <v>663</v>
      </c>
      <c r="B24" s="9" t="s">
        <v>132</v>
      </c>
      <c r="D24" s="40">
        <f>D23+D17-D18-D20</f>
        <v>171.95735365432932</v>
      </c>
      <c r="E24" s="40">
        <f>E23+E17-E18-E20</f>
        <v>52.28339159491044</v>
      </c>
      <c r="F24" s="40">
        <f>F23+F17-F18-F20</f>
        <v>81.6237313483675</v>
      </c>
      <c r="G24" s="40">
        <f>G23+G17-G18-G20</f>
        <v>112.10334837604475</v>
      </c>
      <c r="H24" s="40">
        <f>H23+H17-H18-H20</f>
        <v>144.31363228600537</v>
      </c>
      <c r="I24" s="40">
        <f>I23+I17-I18-I20</f>
        <v>178.70827705334224</v>
      </c>
      <c r="J24" s="40">
        <f>J23+J17-J18-J20</f>
        <v>214.42098215845868</v>
      </c>
      <c r="K24" s="40">
        <f>K23+K17-K18-K20</f>
        <v>177.01777647792167</v>
      </c>
      <c r="L24" s="40">
        <f>L23+L17-L18-L20</f>
        <v>180.24195838857804</v>
      </c>
      <c r="M24" s="40">
        <f>M23+M17-M18-M20</f>
        <v>183.4067975563496</v>
      </c>
      <c r="N24" s="40">
        <f>N23+N17-N18-N20</f>
        <v>186.63493350747663</v>
      </c>
      <c r="O24" s="40">
        <f>O23+O17-O18-O20</f>
        <v>189.92763217762615</v>
      </c>
      <c r="P24" s="40">
        <f>P23+P17-P18-P20</f>
        <v>193.28618482117872</v>
      </c>
      <c r="Q24" s="40">
        <f>Q23+Q17-Q18-Q20</f>
        <v>196.7119085176023</v>
      </c>
      <c r="R24" s="40">
        <f>R23+R17-R18-R20</f>
        <v>200.20614668795434</v>
      </c>
    </row>
    <row r="26" spans="1:18">
      <c r="A26" s="7" t="s">
        <v>664</v>
      </c>
      <c r="B26" s="9" t="s">
        <v>132</v>
      </c>
      <c r="C26" s="27">
        <f>D13*Forecast!$C$42</f>
        <v>-19.98355978671865</v>
      </c>
    </row>
    <row r="27" spans="1:18">
      <c r="A27" s="7" t="s">
        <v>665</v>
      </c>
      <c r="B27" s="9" t="s">
        <v>132</v>
      </c>
      <c r="C27" s="40">
        <f>D16</f>
        <v>-269.9936122242591</v>
      </c>
    </row>
    <row r="28" spans="1:18">
      <c r="A28" s="7" t="s">
        <v>556</v>
      </c>
      <c r="B28" s="9" t="s">
        <v>132</v>
      </c>
      <c r="C28" s="27">
        <f>IF(RonicStart="normal",C26-IF(C26&gt;0,SUMPRODUCT((C26&gt;TaxFrom)*(C26-TaxFrom)*TaxDRate),0),C27-IF(C27&gt;0,SUMPRODUCT((C27&gt;TaxFrom)*(C27-TaxFrom)*TaxDRate),0))</f>
        <v>-19.98355978671865</v>
      </c>
    </row>
    <row r="29" spans="1:18">
      <c r="A29" s="7" t="s">
        <v>558</v>
      </c>
      <c r="B29" s="9" t="s">
        <v>132</v>
      </c>
      <c r="C29" s="27">
        <f>INDEX($D$15:$R$15,MATCH(ExplicitEnd,$D$6:$R$6,0))</f>
        <v>194.99644908341227</v>
      </c>
    </row>
    <row r="30" spans="1:18">
      <c r="A30" s="7" t="s">
        <v>559</v>
      </c>
      <c r="B30" s="9" t="s">
        <v>132</v>
      </c>
      <c r="C30" s="27">
        <f>C29-IF(C29&gt;0,SUMPRODUCT((C29&gt;TaxFrom)*(C29-TaxFrom)*TaxDRate),0)</f>
        <v>173.54683968423691</v>
      </c>
    </row>
    <row r="31" spans="1:18">
      <c r="A31" s="7" t="s">
        <v>666</v>
      </c>
      <c r="B31" s="9" t="s">
        <v>132</v>
      </c>
      <c r="C31" s="40">
        <f>SUMPRODUCT(($D$5:$R$5&gt;1)*$D$11:$R$11*($D$18:$R$18-$D$17:$R$17+$D$20:$R$20))</f>
        <v>-239.86863310480823</v>
      </c>
    </row>
    <row r="32" spans="1:18">
      <c r="A32" s="7" t="s">
        <v>561</v>
      </c>
      <c r="C32" s="31">
        <f>IF(C31&gt;0,(C30-C28)/C31,0)</f>
        <v>0.0</v>
      </c>
    </row>
    <row r="33" spans="1:18">
      <c r="A33" s="7" t="s">
        <v>531</v>
      </c>
      <c r="C33" s="28">
        <f>T_Kd</f>
        <v>0.11</v>
      </c>
    </row>
    <row r="34" spans="1:18">
      <c r="A34" s="7" t="s">
        <v>667</v>
      </c>
      <c r="B34" s="9" t="s">
        <v>132</v>
      </c>
      <c r="C34" s="40">
        <f>$R$14</f>
        <v>4657.845899191392</v>
      </c>
    </row>
    <row r="35" spans="1:18">
      <c r="A35" s="7" t="s">
        <v>570</v>
      </c>
      <c r="B35" s="9" t="s">
        <v>132</v>
      </c>
      <c r="C35" s="27">
        <f>(C34*(1+GTermCfg)*(Forecast!$C$42+MarginConvAmt))-IF((C34*(1+GTermCfg)*(Forecast!$C$42+MarginConvAmt))&gt;0,SUMPRODUCT(((C34*(1+GTermCfg)*(Forecast!$C$42+MarginConvAmt))&gt;TaxFrom)*((C34*(1+GTermCfg)*(Forecast!$C$42+MarginConvAmt))-TaxFrom)*TaxDRate),0)</f>
        <v>203.77026962171345</v>
      </c>
    </row>
    <row r="37" spans="1:18">
      <c r="A37" s="3" t="s">
        <v>71</v>
      </c>
      <c r="C37" s="30">
        <f>SRP_1</f>
        <v>0.0</v>
      </c>
    </row>
    <row r="38" spans="1:18">
      <c r="A38" s="7" t="s">
        <v>668</v>
      </c>
      <c r="C38" s="45">
        <f>(1-WD)*(Rf+BetaL*MRP+SRP_1)+WD*Kd_Pre*(1-C33)</f>
        <v>0.09212124321403853</v>
      </c>
    </row>
    <row r="39" spans="1:18">
      <c r="A39" s="7" t="s">
        <v>562</v>
      </c>
      <c r="C39" s="30">
        <f>IF(C31&lt;=0,C38,IF(C32&lt;C38,C38,IF(C32&gt;RonicCap,MAX(RonicCap,C38),C32)))</f>
        <v>0.09212124321403853</v>
      </c>
    </row>
    <row r="40" spans="1:18">
      <c r="A40" s="7" t="s">
        <v>477</v>
      </c>
      <c r="D40" s="40">
        <f>D24-IF(D11=1,0,D23*D12/C39)</f>
        <v>171.95735365432932</v>
      </c>
      <c r="E40" s="40">
        <f>E24-IF(E11=1,0,E23*E12/C39)</f>
        <v>52.28339159491044</v>
      </c>
      <c r="F40" s="40">
        <f>F24-IF(F11=1,0,F23*F12/C39)</f>
        <v>81.6237313483675</v>
      </c>
      <c r="G40" s="40">
        <f>G24-IF(G11=1,0,G23*G12/C39)</f>
        <v>112.10334837604475</v>
      </c>
      <c r="H40" s="40">
        <f>H24-IF(H11=1,0,H23*H12/C39)</f>
        <v>144.31363228600537</v>
      </c>
      <c r="I40" s="40">
        <f>I24-IF(I11=1,0,I23*I12/C39)</f>
        <v>178.70827705334224</v>
      </c>
      <c r="J40" s="40">
        <f>J24-IF(J11=1,0,J23*J12/C39)</f>
        <v>214.42098215845868</v>
      </c>
      <c r="K40" s="40">
        <f>K24-IF(K11=1,0,K23*K12/C39)</f>
        <v>138.5862985034808</v>
      </c>
      <c r="L40" s="40">
        <f>L24-IF(L11=1,0,L23*L12/C39)</f>
        <v>141.11049378821525</v>
      </c>
      <c r="M40" s="40">
        <f>M24-IF(M11=1,0,M23*M12/C39)</f>
        <v>143.5882299475269</v>
      </c>
      <c r="N40" s="40">
        <f>N24-IF(N11=1,0,N23*N12/C39)</f>
        <v>146.11552083002485</v>
      </c>
      <c r="O40" s="40">
        <f>O24-IF(O11=1,0,O23*O12/C39)</f>
        <v>148.6933575301727</v>
      </c>
      <c r="P40" s="40">
        <f>P24-IF(P11=1,0,P23*P12/C39)</f>
        <v>151.32275096432355</v>
      </c>
      <c r="Q40" s="40">
        <f>Q24-IF(Q11=1,0,Q23*Q12/C39)</f>
        <v>154.00473226715738</v>
      </c>
      <c r="R40" s="40">
        <f>R24-IF(R11=1,0,R23*R12/C39)</f>
        <v>156.7403531960479</v>
      </c>
    </row>
    <row r="41" spans="1:18">
      <c r="A41" s="7" t="s">
        <v>669</v>
      </c>
      <c r="D41" s="27">
        <f>D40*(1+C38)^(-DCF!D10)</f>
        <v>168.18002025941485</v>
      </c>
      <c r="E41" s="27">
        <f>E40*(1+C38)^(-DCF!E10)</f>
        <v>47.855914523820005</v>
      </c>
      <c r="F41" s="27">
        <f>F40*(1+C38)^(-DCF!F10)</f>
        <v>68.40140640023208</v>
      </c>
      <c r="G41" s="27">
        <f>G40*(1+C38)^(-DCF!G10)</f>
        <v>86.00899856791642</v>
      </c>
      <c r="H41" s="27">
        <f>H40*(1+C38)^(-DCF!H10)</f>
        <v>101.38222293081411</v>
      </c>
      <c r="I41" s="27">
        <f>I40*(1+C38)^(-DCF!I10)</f>
        <v>114.95510557837565</v>
      </c>
      <c r="J41" s="27">
        <f>J40*(1+C38)^(-DCF!J10)</f>
        <v>126.27797160765768</v>
      </c>
      <c r="K41" s="27">
        <f>K40*(1+C38)^(-DCF!K10)</f>
        <v>74.72352154899596</v>
      </c>
      <c r="L41" s="27">
        <f>L40*(1+C38)^(-DCF!L10)</f>
        <v>69.66674062571899</v>
      </c>
      <c r="M41" s="27">
        <f>M40*(1+C38)^(-DCF!M10)</f>
        <v>64.91038244069942</v>
      </c>
      <c r="N41" s="27">
        <f>N40*(1+C38)^(-DCF!N10)</f>
        <v>60.473958268001155</v>
      </c>
      <c r="O41" s="27">
        <f>O40*(1+C38)^(-DCF!O10)</f>
        <v>56.343047410676895</v>
      </c>
      <c r="P41" s="27">
        <f>P40*(1+C38)^(-DCF!P10)</f>
        <v>52.5027604425762</v>
      </c>
      <c r="Q41" s="27">
        <f>Q40*(1+C38)^(-DCF!Q10)</f>
        <v>48.926158881477676</v>
      </c>
      <c r="R41" s="27">
        <f>R40*(1+C38)^(-DCF!R10)</f>
        <v>45.58947549282192</v>
      </c>
    </row>
    <row r="42" spans="1:18">
      <c r="A42" s="7" t="s">
        <v>670</v>
      </c>
      <c r="B42" s="9" t="s">
        <v>132</v>
      </c>
      <c r="C42" s="27">
        <f>C35*(1-GTermCfg/C39)/(C38-GTermCfg)*IF(MidYear=1,(1+C38)^0.5,1)</f>
        <v>2311.6200738706193</v>
      </c>
    </row>
    <row r="43" spans="1:18">
      <c r="A43" s="7" t="s">
        <v>574</v>
      </c>
      <c r="B43" s="9" t="s">
        <v>132</v>
      </c>
      <c r="C43" s="27">
        <f>C42*(1+C38)^(-DCF!R9)</f>
        <v>643.2982627281334</v>
      </c>
    </row>
    <row r="44" spans="1:18">
      <c r="A44" s="7" t="s">
        <v>671</v>
      </c>
      <c r="B44" s="9" t="s">
        <v>132</v>
      </c>
      <c r="C44" s="40">
        <f>SUM(D41:R41)+C43</f>
        <v>1829.4959477073326</v>
      </c>
    </row>
    <row r="45" spans="1:18">
      <c r="A45" s="7" t="s">
        <v>605</v>
      </c>
      <c r="B45" s="9" t="s">
        <v>132</v>
      </c>
      <c r="C45" s="27">
        <f>C44*(1+C38)^((ValDate-DiscDate)/DaysYr)</f>
        <v>1870.586536996572</v>
      </c>
    </row>
    <row r="46" spans="1:18">
      <c r="A46" s="7" t="s">
        <v>672</v>
      </c>
      <c r="B46" s="9" t="s">
        <v>132</v>
      </c>
      <c r="C46" s="27">
        <f>C45+BridgeAdj</f>
        <v>237976.91436699653</v>
      </c>
    </row>
    <row r="47" spans="1:18">
      <c r="A47" s="3" t="s">
        <v>673</v>
      </c>
      <c r="B47" s="9" t="s">
        <v>129</v>
      </c>
      <c r="C47" s="56">
        <f>C46*MnToWon/Shares</f>
        <v>8702.440593663363</v>
      </c>
    </row>
    <row r="48" spans="1:18">
      <c r="A48" s="7" t="s">
        <v>599</v>
      </c>
      <c r="C48" s="29">
        <f>C43/C44</f>
        <v>0.3516259566107784</v>
      </c>
    </row>
    <row r="50" spans="1:18">
      <c r="A50" s="3" t="s">
        <v>74</v>
      </c>
      <c r="C50" s="30">
        <f>SRP_2</f>
        <v>0.01</v>
      </c>
    </row>
    <row r="51" spans="1:18">
      <c r="A51" s="7" t="s">
        <v>668</v>
      </c>
      <c r="C51" s="45">
        <f>(1-WD)*(Rf+BetaL*MRP+SRP_2)+WD*Kd_Pre*(1-C33)</f>
        <v>0.10207882733578563</v>
      </c>
    </row>
    <row r="52" spans="1:18">
      <c r="A52" s="7" t="s">
        <v>562</v>
      </c>
      <c r="C52" s="30">
        <f>IF(C31&lt;=0,C51,IF(C32&lt;C51,C51,IF(C32&gt;RonicCap,MAX(RonicCap,C51),C32)))</f>
        <v>0.10207882733578563</v>
      </c>
    </row>
    <row r="53" spans="1:18">
      <c r="A53" s="7" t="s">
        <v>477</v>
      </c>
      <c r="D53" s="40">
        <f>D24-IF(D11=1,0,D23*D12/C52)</f>
        <v>171.95735365432932</v>
      </c>
      <c r="E53" s="40">
        <f>E24-IF(E11=1,0,E23*E12/C52)</f>
        <v>52.28339159491044</v>
      </c>
      <c r="F53" s="40">
        <f>F24-IF(F11=1,0,F23*F12/C52)</f>
        <v>81.6237313483675</v>
      </c>
      <c r="G53" s="40">
        <f>G24-IF(G11=1,0,G23*G12/C52)</f>
        <v>112.10334837604475</v>
      </c>
      <c r="H53" s="40">
        <f>H24-IF(H11=1,0,H23*H12/C52)</f>
        <v>144.31363228600537</v>
      </c>
      <c r="I53" s="40">
        <f>I24-IF(I11=1,0,I23*I12/C52)</f>
        <v>178.70827705334224</v>
      </c>
      <c r="J53" s="40">
        <f>J24-IF(J11=1,0,J23*J12/C52)</f>
        <v>214.42098215845868</v>
      </c>
      <c r="K53" s="40">
        <f>K24-IF(K11=1,0,K23*K12/C52)</f>
        <v>142.33521181725482</v>
      </c>
      <c r="L53" s="40">
        <f>L24-IF(L11=1,0,L23*L12/C52)</f>
        <v>144.92768938827362</v>
      </c>
      <c r="M53" s="40">
        <f>M24-IF(M11=1,0,M23*M12/C52)</f>
        <v>147.472451062921</v>
      </c>
      <c r="N53" s="40">
        <f>N24-IF(N11=1,0,N23*N12/C52)</f>
        <v>150.06810797106135</v>
      </c>
      <c r="O53" s="40">
        <f>O24-IF(O11=1,0,O23*O12/C52)</f>
        <v>152.71567801736447</v>
      </c>
      <c r="P53" s="40">
        <f>P24-IF(P11=1,0,P23*P12/C52)</f>
        <v>155.4161994645937</v>
      </c>
      <c r="Q53" s="40">
        <f>Q24-IF(Q11=1,0,Q23*Q12/C52)</f>
        <v>158.17073134076745</v>
      </c>
      <c r="R53" s="40">
        <f>R24-IF(R11=1,0,R23*R12/C52)</f>
        <v>160.9803538544647</v>
      </c>
    </row>
    <row r="54" spans="1:18">
      <c r="A54" s="7" t="s">
        <v>669</v>
      </c>
      <c r="D54" s="27">
        <f>D53*(1+C51)^(-DCF!D10)</f>
        <v>167.795708725067</v>
      </c>
      <c r="E54" s="27">
        <f>E53*(1+C51)^(-DCF!E10)</f>
        <v>47.421754360225364</v>
      </c>
      <c r="F54" s="27">
        <f>F53*(1+C51)^(-DCF!F10)</f>
        <v>67.16759898441815</v>
      </c>
      <c r="G54" s="27">
        <f>G53*(1+C51)^(-DCF!G10)</f>
        <v>83.69345176286542</v>
      </c>
      <c r="H54" s="27">
        <f>H53*(1+C51)^(-DCF!H10)</f>
        <v>97.7614408996388</v>
      </c>
      <c r="I54" s="27">
        <f>I53*(1+C51)^(-DCF!I10)</f>
        <v>109.84802298093942</v>
      </c>
      <c r="J54" s="27">
        <f>J53*(1+C51)^(-DCF!J10)</f>
        <v>119.57609695827253</v>
      </c>
      <c r="K54" s="27">
        <f>K53*(1+C51)^(-DCF!K10)</f>
        <v>72.01433590802516</v>
      </c>
      <c r="L54" s="27">
        <f>L53*(1+C51)^(-DCF!L10)</f>
        <v>66.53425791325682</v>
      </c>
      <c r="M54" s="27">
        <f>M53*(1+C51)^(-DCF!M10)</f>
        <v>61.43165118822689</v>
      </c>
      <c r="N54" s="27">
        <f>N53*(1+C51)^(-DCF!N10)</f>
        <v>56.715166667955664</v>
      </c>
      <c r="O54" s="27">
        <f>O53*(1+C51)^(-DCF!O10)</f>
        <v>52.36293071531868</v>
      </c>
      <c r="P54" s="27">
        <f>P53*(1+C51)^(-DCF!P10)</f>
        <v>48.353058129790455</v>
      </c>
      <c r="Q54" s="27">
        <f>Q53*(1+C51)^(-DCF!Q10)</f>
        <v>44.65202155916668</v>
      </c>
      <c r="R54" s="27">
        <f>R53*(1+C51)^(-DCF!R10)</f>
        <v>41.23038557313633</v>
      </c>
    </row>
    <row r="55" spans="1:18">
      <c r="A55" s="7" t="s">
        <v>670</v>
      </c>
      <c r="B55" s="9" t="s">
        <v>132</v>
      </c>
      <c r="C55" s="27">
        <f>C35*(1-GTermCfg/C52)/(C51-GTermCfg)*IF(MidYear=1,(1+C51)^0.5,1)</f>
        <v>2095.614898217247</v>
      </c>
    </row>
    <row r="56" spans="1:18">
      <c r="A56" s="7" t="s">
        <v>574</v>
      </c>
      <c r="B56" s="9" t="s">
        <v>132</v>
      </c>
      <c r="C56" s="27">
        <f>C55*(1+C51)^(-DCF!R9)</f>
        <v>511.20117189610613</v>
      </c>
    </row>
    <row r="57" spans="1:18">
      <c r="A57" s="7" t="s">
        <v>671</v>
      </c>
      <c r="B57" s="9" t="s">
        <v>132</v>
      </c>
      <c r="C57" s="40">
        <f>SUM(D54:R54)+C56</f>
        <v>1647.7590542224098</v>
      </c>
    </row>
    <row r="58" spans="1:18">
      <c r="A58" s="7" t="s">
        <v>605</v>
      </c>
      <c r="B58" s="9" t="s">
        <v>132</v>
      </c>
      <c r="C58" s="27">
        <f>C57*(1+C51)^((ValDate-DiscDate)/DaysYr)</f>
        <v>1688.6265362620525</v>
      </c>
    </row>
    <row r="59" spans="1:18">
      <c r="A59" s="7" t="s">
        <v>672</v>
      </c>
      <c r="B59" s="9" t="s">
        <v>132</v>
      </c>
      <c r="C59" s="27">
        <f>C58+BridgeAdj</f>
        <v>237794.954366262</v>
      </c>
    </row>
    <row r="60" spans="1:18">
      <c r="A60" s="3" t="s">
        <v>673</v>
      </c>
      <c r="B60" s="9" t="s">
        <v>129</v>
      </c>
      <c r="C60" s="56">
        <f>C59*MnToWon/Shares</f>
        <v>8695.786603291956</v>
      </c>
    </row>
    <row r="61" spans="1:18">
      <c r="A61" s="7" t="s">
        <v>599</v>
      </c>
      <c r="C61" s="29">
        <f>C56/C57</f>
        <v>0.31024024452248933</v>
      </c>
    </row>
    <row r="63" spans="1:18">
      <c r="A63" s="3" t="s">
        <v>75</v>
      </c>
      <c r="C63" s="30">
        <f>SRP_3</f>
        <v>0.02</v>
      </c>
    </row>
    <row r="64" spans="1:18">
      <c r="A64" s="7" t="s">
        <v>668</v>
      </c>
      <c r="C64" s="45">
        <f>(1-WD)*(Rf+BetaL*MRP+SRP_3)+WD*Kd_Pre*(1-C33)</f>
        <v>0.11203641145753274</v>
      </c>
    </row>
    <row r="65" spans="1:18">
      <c r="A65" s="7" t="s">
        <v>562</v>
      </c>
      <c r="C65" s="30">
        <f>IF(C31&lt;=0,C64,IF(C32&lt;C64,C64,IF(C32&gt;RonicCap,MAX(RonicCap,C64),C32)))</f>
        <v>0.11203641145753274</v>
      </c>
    </row>
    <row r="66" spans="1:18">
      <c r="A66" s="7" t="s">
        <v>477</v>
      </c>
      <c r="D66" s="40">
        <f>D24-IF(D11=1,0,D23*D12/C65)</f>
        <v>171.95735365432932</v>
      </c>
      <c r="E66" s="40">
        <f>E24-IF(E11=1,0,E23*E12/C65)</f>
        <v>52.28339159491044</v>
      </c>
      <c r="F66" s="40">
        <f>F24-IF(F11=1,0,F23*F12/C65)</f>
        <v>81.6237313483675</v>
      </c>
      <c r="G66" s="40">
        <f>G24-IF(G11=1,0,G23*G12/C65)</f>
        <v>112.10334837604475</v>
      </c>
      <c r="H66" s="40">
        <f>H24-IF(H11=1,0,H23*H12/C65)</f>
        <v>144.31363228600537</v>
      </c>
      <c r="I66" s="40">
        <f>I24-IF(I11=1,0,I23*I12/C65)</f>
        <v>178.70827705334224</v>
      </c>
      <c r="J66" s="40">
        <f>J24-IF(J11=1,0,J23*J12/C65)</f>
        <v>214.42098215845868</v>
      </c>
      <c r="K66" s="40">
        <f>K24-IF(K11=1,0,K23*K12/C65)</f>
        <v>145.4177324966808</v>
      </c>
      <c r="L66" s="40">
        <f>L24-IF(L11=1,0,L23*L12/C65)</f>
        <v>148.06635475334406</v>
      </c>
      <c r="M66" s="40">
        <f>M24-IF(M11=1,0,M23*M12/C65)</f>
        <v>150.6662277415319</v>
      </c>
      <c r="N66" s="40">
        <f>N24-IF(N11=1,0,N23*N12/C65)</f>
        <v>153.31809818948355</v>
      </c>
      <c r="O66" s="40">
        <f>O24-IF(O11=1,0,O23*O12/C65)</f>
        <v>156.02300604639416</v>
      </c>
      <c r="P66" s="40">
        <f>P24-IF(P11=1,0,P23*P12/C65)</f>
        <v>158.78201206044307</v>
      </c>
      <c r="Q66" s="40">
        <f>Q24-IF(Q11=1,0,Q23*Q12/C65)</f>
        <v>161.59619819477288</v>
      </c>
      <c r="R66" s="40">
        <f>R24-IF(R11=1,0,R23*R12/C65)</f>
        <v>164.46666805178933</v>
      </c>
    </row>
    <row r="67" spans="1:18">
      <c r="A67" s="7" t="s">
        <v>669</v>
      </c>
      <c r="D67" s="27">
        <f>D66*(1+C64)^(-DCF!D10)</f>
        <v>167.41572037190582</v>
      </c>
      <c r="E67" s="27">
        <f>E66*(1+C64)^(-DCF!E10)</f>
        <v>46.995385289619676</v>
      </c>
      <c r="F67" s="27">
        <f>F66*(1+C64)^(-DCF!F10)</f>
        <v>65.9668463045772</v>
      </c>
      <c r="G67" s="27">
        <f>G66*(1+C64)^(-DCF!G10)</f>
        <v>81.46023866436248</v>
      </c>
      <c r="H67" s="27">
        <f>H66*(1+C64)^(-DCF!H10)</f>
        <v>94.30081447068028</v>
      </c>
      <c r="I67" s="27">
        <f>I66*(1+C64)^(-DCF!I10)</f>
        <v>105.01074657969346</v>
      </c>
      <c r="J67" s="27">
        <f>J66*(1+C64)^(-DCF!J10)</f>
        <v>113.28546066657076</v>
      </c>
      <c r="K67" s="27">
        <f>K66*(1+C64)^(-DCF!K10)</f>
        <v>69.07836950407805</v>
      </c>
      <c r="L67" s="27">
        <f>L66*(1+C64)^(-DCF!L10)</f>
        <v>63.2502267439615</v>
      </c>
      <c r="M67" s="27">
        <f>M66*(1+C64)^(-DCF!M10)</f>
        <v>57.87654657923268</v>
      </c>
      <c r="N67" s="27">
        <f>N66*(1+C64)^(-DCF!N10)</f>
        <v>52.953897891939015</v>
      </c>
      <c r="O67" s="27">
        <f>O66*(1+C64)^(-DCF!O10)</f>
        <v>48.45191726155198</v>
      </c>
      <c r="P67" s="27">
        <f>P66*(1+C64)^(-DCF!P10)</f>
        <v>44.340911777431835</v>
      </c>
      <c r="Q67" s="27">
        <f>Q66*(1+C64)^(-DCF!Q10)</f>
        <v>40.580318353606266</v>
      </c>
      <c r="R67" s="27">
        <f>R66*(1+C64)^(-DCF!R10)</f>
        <v>37.13470861039127</v>
      </c>
    </row>
    <row r="68" spans="1:18">
      <c r="A68" s="7" t="s">
        <v>670</v>
      </c>
      <c r="B68" s="9" t="s">
        <v>132</v>
      </c>
      <c r="C68" s="27">
        <f>C35*(1-GTermCfg/C65)/(C64-GTermCfg)*IF(MidYear=1,(1+C64)^0.5,1)</f>
        <v>1917.9670154053658</v>
      </c>
    </row>
    <row r="69" spans="1:18">
      <c r="A69" s="7" t="s">
        <v>574</v>
      </c>
      <c r="B69" s="9" t="s">
        <v>132</v>
      </c>
      <c r="C69" s="27">
        <f>C68*(1+C64)^(-DCF!R9)</f>
        <v>410.601545629671</v>
      </c>
    </row>
    <row r="70" spans="1:18">
      <c r="A70" s="7" t="s">
        <v>671</v>
      </c>
      <c r="B70" s="9" t="s">
        <v>132</v>
      </c>
      <c r="C70" s="40">
        <f>SUM(D67:R67)+C69</f>
        <v>1498.7036546992736</v>
      </c>
    </row>
    <row r="71" spans="1:18">
      <c r="A71" s="7" t="s">
        <v>605</v>
      </c>
      <c r="B71" s="9" t="s">
        <v>132</v>
      </c>
      <c r="C71" s="27">
        <f>C70*(1+C64)^((ValDate-DiscDate)/DaysYr)</f>
        <v>1539.360305003985</v>
      </c>
    </row>
    <row r="72" spans="1:18">
      <c r="A72" s="7" t="s">
        <v>672</v>
      </c>
      <c r="B72" s="9" t="s">
        <v>132</v>
      </c>
      <c r="C72" s="27">
        <f>C71+BridgeAdj</f>
        <v>237645.68813500396</v>
      </c>
    </row>
    <row r="73" spans="1:18">
      <c r="A73" s="3" t="s">
        <v>673</v>
      </c>
      <c r="B73" s="9" t="s">
        <v>129</v>
      </c>
      <c r="C73" s="56">
        <f>C72*MnToWon/Shares</f>
        <v>8690.328172529382</v>
      </c>
    </row>
    <row r="74" spans="1:18">
      <c r="A74" s="7" t="s">
        <v>599</v>
      </c>
      <c r="C74" s="29">
        <f>C69/C70</f>
        <v>0.27397113788453487</v>
      </c>
    </row>
    <row r="77" spans="1:18">
      <c r="A77" s="11" t="s">
        <v>674</v>
      </c>
    </row>
    <row r="78" spans="1:18">
      <c r="A78" s="7" t="s">
        <v>458</v>
      </c>
      <c r="C78" s="35">
        <v>0</v>
      </c>
      <c r="D78" s="35">
        <f>C78+1</f>
        <v>1.0</v>
      </c>
      <c r="E78" s="35">
        <f>D78+1</f>
        <v>2.0</v>
      </c>
      <c r="F78" s="35">
        <f>E78+1</f>
        <v>3.0</v>
      </c>
      <c r="G78" s="35">
        <f>F78+1</f>
        <v>4.0</v>
      </c>
      <c r="H78" s="35">
        <f>G78+1</f>
        <v>5.0</v>
      </c>
      <c r="I78" s="35">
        <f>H78+1</f>
        <v>6.0</v>
      </c>
      <c r="J78" s="35">
        <f>I78+1</f>
        <v>7.0</v>
      </c>
      <c r="K78" s="35">
        <f>J78+1</f>
        <v>8.0</v>
      </c>
      <c r="L78" s="35">
        <f>K78+1</f>
        <v>9.0</v>
      </c>
      <c r="M78" s="35">
        <f>L78+1</f>
        <v>10.0</v>
      </c>
      <c r="N78" s="35">
        <f>M78+1</f>
        <v>11.0</v>
      </c>
      <c r="O78" s="35">
        <f>N78+1</f>
        <v>12.0</v>
      </c>
      <c r="P78" s="35">
        <f>O78+1</f>
        <v>13.0</v>
      </c>
      <c r="Q78" s="35">
        <f>P78+1</f>
        <v>14.0</v>
      </c>
      <c r="R78" s="35">
        <f>Q78+1</f>
        <v>15.0</v>
      </c>
    </row>
    <row r="79" spans="1:18">
      <c r="A79" s="7" t="s">
        <v>49</v>
      </c>
      <c r="D79" s="36">
        <f>YEAR(CfStart)+D78-1</f>
        <v>2026.0</v>
      </c>
      <c r="E79" s="36">
        <f>YEAR(CfStart)+E78-1</f>
        <v>2027.0</v>
      </c>
      <c r="F79" s="36">
        <f>YEAR(CfStart)+F78-1</f>
        <v>2028.0</v>
      </c>
      <c r="G79" s="36">
        <f>YEAR(CfStart)+G78-1</f>
        <v>2029.0</v>
      </c>
      <c r="H79" s="36">
        <f>YEAR(CfStart)+H78-1</f>
        <v>2030.0</v>
      </c>
      <c r="I79" s="36">
        <f>YEAR(CfStart)+I78-1</f>
        <v>2031.0</v>
      </c>
      <c r="J79" s="36">
        <f>YEAR(CfStart)+J78-1</f>
        <v>2032.0</v>
      </c>
      <c r="K79" s="36">
        <f>YEAR(CfStart)+K78-1</f>
        <v>2033.0</v>
      </c>
      <c r="L79" s="36">
        <f>YEAR(CfStart)+L78-1</f>
        <v>2034.0</v>
      </c>
      <c r="M79" s="36">
        <f>YEAR(CfStart)+M78-1</f>
        <v>2035.0</v>
      </c>
      <c r="N79" s="36">
        <f>YEAR(CfStart)+N78-1</f>
        <v>2036.0</v>
      </c>
      <c r="O79" s="36">
        <f>YEAR(CfStart)+O78-1</f>
        <v>2037.0</v>
      </c>
      <c r="P79" s="36">
        <f>YEAR(CfStart)+P78-1</f>
        <v>2038.0</v>
      </c>
      <c r="Q79" s="36">
        <f>YEAR(CfStart)+Q78-1</f>
        <v>2039.0</v>
      </c>
      <c r="R79" s="36">
        <f>YEAR(CfStart)+R78-1</f>
        <v>2040.0</v>
      </c>
    </row>
    <row r="80" spans="1:18">
      <c r="A80" s="7" t="s">
        <v>228</v>
      </c>
      <c r="D80" s="7" t="str">
        <f>IF(D84=1,"명시","체감")</f>
        <v>명시</v>
      </c>
      <c r="E80" s="7" t="str">
        <f>IF(E84=1,"명시","체감")</f>
        <v>명시</v>
      </c>
      <c r="F80" s="7" t="str">
        <f>IF(F84=1,"명시","체감")</f>
        <v>명시</v>
      </c>
      <c r="G80" s="7" t="str">
        <f>IF(G84=1,"명시","체감")</f>
        <v>명시</v>
      </c>
      <c r="H80" s="7" t="str">
        <f>IF(H84=1,"명시","체감")</f>
        <v>명시</v>
      </c>
      <c r="I80" s="7" t="str">
        <f>IF(I84=1,"명시","체감")</f>
        <v>명시</v>
      </c>
      <c r="J80" s="7" t="str">
        <f>IF(J84=1,"명시","체감")</f>
        <v>명시</v>
      </c>
      <c r="K80" s="7" t="str">
        <f>IF(K84=1,"명시","체감")</f>
        <v>체감</v>
      </c>
      <c r="L80" s="7" t="str">
        <f>IF(L84=1,"명시","체감")</f>
        <v>체감</v>
      </c>
      <c r="M80" s="7" t="str">
        <f>IF(M84=1,"명시","체감")</f>
        <v>체감</v>
      </c>
      <c r="N80" s="7" t="str">
        <f>IF(N84=1,"명시","체감")</f>
        <v>체감</v>
      </c>
      <c r="O80" s="7" t="str">
        <f>IF(O84=1,"명시","체감")</f>
        <v>체감</v>
      </c>
      <c r="P80" s="7" t="str">
        <f>IF(P84=1,"명시","체감")</f>
        <v>체감</v>
      </c>
      <c r="Q80" s="7" t="str">
        <f>IF(Q84=1,"명시","체감")</f>
        <v>체감</v>
      </c>
      <c r="R80" s="7" t="str">
        <f>IF(R84=1,"명시","체감")</f>
        <v>체감</v>
      </c>
    </row>
    <row r="81" spans="1:18">
      <c r="A81" s="7" t="s">
        <v>459</v>
      </c>
      <c r="D81" s="37">
        <f>MAX(DATE(D79,1,1),CfStart)</f>
        <v>46204.0</v>
      </c>
      <c r="E81" s="37">
        <f>MAX(DATE(E79,1,1),CfStart)</f>
        <v>46388.0</v>
      </c>
      <c r="F81" s="37">
        <f>MAX(DATE(F79,1,1),CfStart)</f>
        <v>46753.0</v>
      </c>
      <c r="G81" s="37">
        <f>MAX(DATE(G79,1,1),CfStart)</f>
        <v>47119.0</v>
      </c>
      <c r="H81" s="37">
        <f>MAX(DATE(H79,1,1),CfStart)</f>
        <v>47484.0</v>
      </c>
      <c r="I81" s="37">
        <f>MAX(DATE(I79,1,1),CfStart)</f>
        <v>47849.0</v>
      </c>
      <c r="J81" s="37">
        <f>MAX(DATE(J79,1,1),CfStart)</f>
        <v>48214.0</v>
      </c>
      <c r="K81" s="37">
        <f>MAX(DATE(K79,1,1),CfStart)</f>
        <v>48580.0</v>
      </c>
      <c r="L81" s="37">
        <f>MAX(DATE(L79,1,1),CfStart)</f>
        <v>48945.0</v>
      </c>
      <c r="M81" s="37">
        <f>MAX(DATE(M79,1,1),CfStart)</f>
        <v>49310.0</v>
      </c>
      <c r="N81" s="37">
        <f>MAX(DATE(N79,1,1),CfStart)</f>
        <v>49675.0</v>
      </c>
      <c r="O81" s="37">
        <f>MAX(DATE(O79,1,1),CfStart)</f>
        <v>50041.0</v>
      </c>
      <c r="P81" s="37">
        <f>MAX(DATE(P79,1,1),CfStart)</f>
        <v>50406.0</v>
      </c>
      <c r="Q81" s="37">
        <f>MAX(DATE(Q79,1,1),CfStart)</f>
        <v>50771.0</v>
      </c>
      <c r="R81" s="37">
        <f>MAX(DATE(R79,1,1),CfStart)</f>
        <v>51136.0</v>
      </c>
    </row>
    <row r="82" spans="1:18">
      <c r="A82" s="7" t="s">
        <v>460</v>
      </c>
      <c r="D82" s="38">
        <f>DATE(D79,12,31)</f>
        <v>46387.0</v>
      </c>
      <c r="E82" s="38">
        <f>DATE(E79,12,31)</f>
        <v>46752.0</v>
      </c>
      <c r="F82" s="38">
        <f>DATE(F79,12,31)</f>
        <v>47118.0</v>
      </c>
      <c r="G82" s="38">
        <f>DATE(G79,12,31)</f>
        <v>47483.0</v>
      </c>
      <c r="H82" s="38">
        <f>DATE(H79,12,31)</f>
        <v>47848.0</v>
      </c>
      <c r="I82" s="38">
        <f>DATE(I79,12,31)</f>
        <v>48213.0</v>
      </c>
      <c r="J82" s="38">
        <f>DATE(J79,12,31)</f>
        <v>48579.0</v>
      </c>
      <c r="K82" s="38">
        <f>DATE(K79,12,31)</f>
        <v>48944.0</v>
      </c>
      <c r="L82" s="38">
        <f>DATE(L79,12,31)</f>
        <v>49309.0</v>
      </c>
      <c r="M82" s="38">
        <f>DATE(M79,12,31)</f>
        <v>49674.0</v>
      </c>
      <c r="N82" s="38">
        <f>DATE(N79,12,31)</f>
        <v>50040.0</v>
      </c>
      <c r="O82" s="38">
        <f>DATE(O79,12,31)</f>
        <v>50405.0</v>
      </c>
      <c r="P82" s="38">
        <f>DATE(P79,12,31)</f>
        <v>50770.0</v>
      </c>
      <c r="Q82" s="38">
        <f>DATE(Q79,12,31)</f>
        <v>51135.0</v>
      </c>
      <c r="R82" s="38">
        <f>DATE(R79,12,31)</f>
        <v>51501.0</v>
      </c>
    </row>
    <row r="83" spans="1:18">
      <c r="A83" s="7" t="s">
        <v>461</v>
      </c>
      <c r="D83" s="39">
        <f>(D82-D81+1)/DaysYr</f>
        <v>0.5041095890410959</v>
      </c>
      <c r="E83" s="39">
        <f>(E82-E81+1)/DaysYr</f>
        <v>1.0</v>
      </c>
      <c r="F83" s="39">
        <f>(F82-F81+1)/DaysYr</f>
        <v>1.0027397260273974</v>
      </c>
      <c r="G83" s="39">
        <f>(G82-G81+1)/DaysYr</f>
        <v>1.0</v>
      </c>
      <c r="H83" s="39">
        <f>(H82-H81+1)/DaysYr</f>
        <v>1.0</v>
      </c>
      <c r="I83" s="39">
        <f>(I82-I81+1)/DaysYr</f>
        <v>1.0</v>
      </c>
      <c r="J83" s="39">
        <f>(J82-J81+1)/DaysYr</f>
        <v>1.0027397260273974</v>
      </c>
      <c r="K83" s="39">
        <f>(K82-K81+1)/DaysYr</f>
        <v>1.0</v>
      </c>
      <c r="L83" s="39">
        <f>(L82-L81+1)/DaysYr</f>
        <v>1.0</v>
      </c>
      <c r="M83" s="39">
        <f>(M82-M81+1)/DaysYr</f>
        <v>1.0</v>
      </c>
      <c r="N83" s="39">
        <f>(N82-N81+1)/DaysYr</f>
        <v>1.0027397260273974</v>
      </c>
      <c r="O83" s="39">
        <f>(O82-O81+1)/DaysYr</f>
        <v>1.0</v>
      </c>
      <c r="P83" s="39">
        <f>(P82-P81+1)/DaysYr</f>
        <v>1.0</v>
      </c>
      <c r="Q83" s="39">
        <f>(Q82-Q81+1)/DaysYr</f>
        <v>1.0</v>
      </c>
      <c r="R83" s="39">
        <f>(R82-R81+1)/DaysYr</f>
        <v>1.0027397260273974</v>
      </c>
    </row>
    <row r="84" spans="1:18">
      <c r="A84" s="7" t="s">
        <v>462</v>
      </c>
      <c r="D84" s="34">
        <f>IF(D79&lt;=ExplicitEnd,1,0)</f>
        <v>1.0</v>
      </c>
      <c r="E84" s="34">
        <f>IF(E79&lt;=ExplicitEnd,1,0)</f>
        <v>1.0</v>
      </c>
      <c r="F84" s="34">
        <f>IF(F79&lt;=ExplicitEnd,1,0)</f>
        <v>1.0</v>
      </c>
      <c r="G84" s="34">
        <f>IF(G79&lt;=ExplicitEnd,1,0)</f>
        <v>1.0</v>
      </c>
      <c r="H84" s="34">
        <f>IF(H79&lt;=ExplicitEnd,1,0)</f>
        <v>1.0</v>
      </c>
      <c r="I84" s="34">
        <f>IF(I79&lt;=ExplicitEnd,1,0)</f>
        <v>1.0</v>
      </c>
      <c r="J84" s="34">
        <f>IF(J79&lt;=ExplicitEnd,1,0)</f>
        <v>1.0</v>
      </c>
      <c r="K84" s="34">
        <f>IF(K79&lt;=ExplicitEnd,1,0)</f>
        <v>0.0</v>
      </c>
      <c r="L84" s="34">
        <f>IF(L79&lt;=ExplicitEnd,1,0)</f>
        <v>0.0</v>
      </c>
      <c r="M84" s="34">
        <f>IF(M79&lt;=ExplicitEnd,1,0)</f>
        <v>0.0</v>
      </c>
      <c r="N84" s="34">
        <f>IF(N79&lt;=ExplicitEnd,1,0)</f>
        <v>0.0</v>
      </c>
      <c r="O84" s="34">
        <f>IF(O79&lt;=ExplicitEnd,1,0)</f>
        <v>0.0</v>
      </c>
      <c r="P84" s="34">
        <f>IF(P79&lt;=ExplicitEnd,1,0)</f>
        <v>0.0</v>
      </c>
      <c r="Q84" s="34">
        <f>IF(Q79&lt;=ExplicitEnd,1,0)</f>
        <v>0.0</v>
      </c>
      <c r="R84" s="34">
        <f>IF(R79&lt;=ExplicitEnd,1,0)</f>
        <v>0.0</v>
      </c>
    </row>
    <row r="85" spans="1:18">
      <c r="A85" s="7" t="s">
        <v>463</v>
      </c>
      <c r="B85" s="9" t="s">
        <v>16</v>
      </c>
      <c r="D85" s="30">
        <f>IF(D84=1,Forecast!$D$41+(GTermCfg-Forecast!$D$41)*MIN(D79-YEAR(CfStart),FadeTo-YEAR(CfStart))/(FadeTo-YEAR(CfStart)),Forecast!$D$43-(D79-ExplicitEnd)*(Forecast!$D$43-GTermCfg)/FadeYears)</f>
        <v>0.014420191600999407</v>
      </c>
      <c r="E85" s="30">
        <f>IF(E84=1,Forecast!$D$41+(GTermCfg-Forecast!$D$41)*MIN(E79-YEAR(CfStart),FadeTo-YEAR(CfStart))/(FadeTo-YEAR(CfStart)),Forecast!$D$43-(E79-ExplicitEnd)*(Forecast!$D$43-GTermCfg)/FadeYears)</f>
        <v>0.015815143700749556</v>
      </c>
      <c r="F85" s="30">
        <f>IF(F84=1,Forecast!$D$41+(GTermCfg-Forecast!$D$41)*MIN(F79-YEAR(CfStart),FadeTo-YEAR(CfStart))/(FadeTo-YEAR(CfStart)),Forecast!$D$43-(F79-ExplicitEnd)*(Forecast!$D$43-GTermCfg)/FadeYears)</f>
        <v>0.017210095800499703</v>
      </c>
      <c r="G85" s="30">
        <f>IF(G84=1,Forecast!$D$41+(GTermCfg-Forecast!$D$41)*MIN(G79-YEAR(CfStart),FadeTo-YEAR(CfStart))/(FadeTo-YEAR(CfStart)),Forecast!$D$43-(G79-ExplicitEnd)*(Forecast!$D$43-GTermCfg)/FadeYears)</f>
        <v>0.018605047900249853</v>
      </c>
      <c r="H85" s="30">
        <f>IF(H84=1,Forecast!$D$41+(GTermCfg-Forecast!$D$41)*MIN(H79-YEAR(CfStart),FadeTo-YEAR(CfStart))/(FadeTo-YEAR(CfStart)),Forecast!$D$43-(H79-ExplicitEnd)*(Forecast!$D$43-GTermCfg)/FadeYears)</f>
        <v>0.02</v>
      </c>
      <c r="I85" s="30">
        <f>IF(I84=1,Forecast!$D$41+(GTermCfg-Forecast!$D$41)*MIN(I79-YEAR(CfStart),FadeTo-YEAR(CfStart))/(FadeTo-YEAR(CfStart)),Forecast!$D$43-(I79-ExplicitEnd)*(Forecast!$D$43-GTermCfg)/FadeYears)</f>
        <v>0.02</v>
      </c>
      <c r="J85" s="30">
        <f>IF(J84=1,Forecast!$D$41+(GTermCfg-Forecast!$D$41)*MIN(J79-YEAR(CfStart),FadeTo-YEAR(CfStart))/(FadeTo-YEAR(CfStart)),Forecast!$D$43-(J79-ExplicitEnd)*(Forecast!$D$43-GTermCfg)/FadeYears)</f>
        <v>0.02</v>
      </c>
      <c r="K85" s="30">
        <f>IF(K84=1,Forecast!$D$41+(GTermCfg-Forecast!$D$41)*MIN(K79-YEAR(CfStart),FadeTo-YEAR(CfStart))/(FadeTo-YEAR(CfStart)),Forecast!$D$43-(K79-ExplicitEnd)*(Forecast!$D$43-GTermCfg)/FadeYears)</f>
        <v>0.02</v>
      </c>
      <c r="L85" s="30">
        <f>IF(L84=1,Forecast!$D$41+(GTermCfg-Forecast!$D$41)*MIN(L79-YEAR(CfStart),FadeTo-YEAR(CfStart))/(FadeTo-YEAR(CfStart)),Forecast!$D$43-(L79-ExplicitEnd)*(Forecast!$D$43-GTermCfg)/FadeYears)</f>
        <v>0.02</v>
      </c>
      <c r="M85" s="30">
        <f>IF(M84=1,Forecast!$D$41+(GTermCfg-Forecast!$D$41)*MIN(M79-YEAR(CfStart),FadeTo-YEAR(CfStart))/(FadeTo-YEAR(CfStart)),Forecast!$D$43-(M79-ExplicitEnd)*(Forecast!$D$43-GTermCfg)/FadeYears)</f>
        <v>0.02</v>
      </c>
      <c r="N85" s="30">
        <f>IF(N84=1,Forecast!$D$41+(GTermCfg-Forecast!$D$41)*MIN(N79-YEAR(CfStart),FadeTo-YEAR(CfStart))/(FadeTo-YEAR(CfStart)),Forecast!$D$43-(N79-ExplicitEnd)*(Forecast!$D$43-GTermCfg)/FadeYears)</f>
        <v>0.02</v>
      </c>
      <c r="O85" s="30">
        <f>IF(O84=1,Forecast!$D$41+(GTermCfg-Forecast!$D$41)*MIN(O79-YEAR(CfStart),FadeTo-YEAR(CfStart))/(FadeTo-YEAR(CfStart)),Forecast!$D$43-(O79-ExplicitEnd)*(Forecast!$D$43-GTermCfg)/FadeYears)</f>
        <v>0.02</v>
      </c>
      <c r="P85" s="30">
        <f>IF(P84=1,Forecast!$D$41+(GTermCfg-Forecast!$D$41)*MIN(P79-YEAR(CfStart),FadeTo-YEAR(CfStart))/(FadeTo-YEAR(CfStart)),Forecast!$D$43-(P79-ExplicitEnd)*(Forecast!$D$43-GTermCfg)/FadeYears)</f>
        <v>0.02</v>
      </c>
      <c r="Q85" s="30">
        <f>IF(Q84=1,Forecast!$D$41+(GTermCfg-Forecast!$D$41)*MIN(Q79-YEAR(CfStart),FadeTo-YEAR(CfStart))/(FadeTo-YEAR(CfStart)),Forecast!$D$43-(Q79-ExplicitEnd)*(Forecast!$D$43-GTermCfg)/FadeYears)</f>
        <v>0.02</v>
      </c>
      <c r="R85" s="30">
        <f>IF(R84=1,Forecast!$D$41+(GTermCfg-Forecast!$D$41)*MIN(R79-YEAR(CfStart),FadeTo-YEAR(CfStart))/(FadeTo-YEAR(CfStart)),Forecast!$D$43-(R79-ExplicitEnd)*(Forecast!$D$43-GTermCfg)/FadeYears)</f>
        <v>0.02</v>
      </c>
    </row>
    <row r="86" spans="1:18">
      <c r="A86" s="7" t="s">
        <v>464</v>
      </c>
      <c r="B86" s="9" t="s">
        <v>132</v>
      </c>
      <c r="D86" s="27">
        <f>IF(D78=1,RevFY_Last*(1+D85),C86*(1+D85))</f>
        <v>3740.1453024953003</v>
      </c>
      <c r="E86" s="27">
        <f>IF(E78=1,RevFY_Last*(1+E85),D86*(1+E85))</f>
        <v>3799.296237915947</v>
      </c>
      <c r="F86" s="27">
        <f>IF(F78=1,RevFY_Last*(1+F85),E86*(1+F85))</f>
        <v>3864.6824901449586</v>
      </c>
      <c r="G86" s="27">
        <f>IF(G78=1,RevFY_Last*(1+G85),F86*(1+G85))</f>
        <v>3936.585092993362</v>
      </c>
      <c r="H86" s="27">
        <f>IF(H78=1,RevFY_Last*(1+H85),G86*(1+H85))</f>
        <v>4015.3167948532296</v>
      </c>
      <c r="I86" s="27">
        <f>IF(I78=1,RevFY_Last*(1+I85),H86*(1+I85))</f>
        <v>4095.6231307502944</v>
      </c>
      <c r="J86" s="27">
        <f>IF(J78=1,RevFY_Last*(1+J85),I86*(1+J85))</f>
        <v>4177.5355933653</v>
      </c>
      <c r="K86" s="27">
        <f>IF(K78=1,RevFY_Last*(1+K85),J86*(1+K85))</f>
        <v>4261.086305232606</v>
      </c>
      <c r="L86" s="27">
        <f>IF(L78=1,RevFY_Last*(1+L85),K86*(1+L85))</f>
        <v>4346.308031337258</v>
      </c>
      <c r="M86" s="27">
        <f>IF(M78=1,RevFY_Last*(1+M85),L86*(1+M85))</f>
        <v>4433.234191964004</v>
      </c>
      <c r="N86" s="27">
        <f>IF(N78=1,RevFY_Last*(1+N85),M86*(1+N85))</f>
        <v>4521.898875803284</v>
      </c>
      <c r="O86" s="27">
        <f>IF(O78=1,RevFY_Last*(1+O85),N86*(1+O85))</f>
        <v>4612.33685331935</v>
      </c>
      <c r="P86" s="27">
        <f>IF(P78=1,RevFY_Last*(1+P85),O86*(1+P85))</f>
        <v>4704.583590385737</v>
      </c>
      <c r="Q86" s="27">
        <f>IF(Q78=1,RevFY_Last*(1+Q85),P86*(1+Q85))</f>
        <v>4798.675262193452</v>
      </c>
      <c r="R86" s="27">
        <f>IF(R78=1,RevFY_Last*(1+R85),Q86*(1+R85))</f>
        <v>4894.648767437321</v>
      </c>
    </row>
    <row r="87" spans="1:18">
      <c r="A87" s="7" t="s">
        <v>465</v>
      </c>
      <c r="B87" s="9" t="s">
        <v>132</v>
      </c>
      <c r="D87" s="27">
        <f>IF(D78=1,D86-H1Rev,D86)</f>
        <v>2040.6927454953002</v>
      </c>
      <c r="E87" s="27">
        <f>IF(E78=1,E86-H1Rev,E86)</f>
        <v>3799.296237915947</v>
      </c>
      <c r="F87" s="27">
        <f>IF(F78=1,F86-H1Rev,F86)</f>
        <v>3864.6824901449586</v>
      </c>
      <c r="G87" s="27">
        <f>IF(G78=1,G86-H1Rev,G86)</f>
        <v>3936.585092993362</v>
      </c>
      <c r="H87" s="27">
        <f>IF(H78=1,H86-H1Rev,H86)</f>
        <v>4015.3167948532296</v>
      </c>
      <c r="I87" s="27">
        <f>IF(I78=1,I86-H1Rev,I86)</f>
        <v>4095.6231307502944</v>
      </c>
      <c r="J87" s="27">
        <f>IF(J78=1,J86-H1Rev,J86)</f>
        <v>4177.5355933653</v>
      </c>
      <c r="K87" s="27">
        <f>IF(K78=1,K86-H1Rev,K86)</f>
        <v>4261.086305232606</v>
      </c>
      <c r="L87" s="27">
        <f>IF(L78=1,L86-H1Rev,L86)</f>
        <v>4346.308031337258</v>
      </c>
      <c r="M87" s="27">
        <f>IF(M78=1,M86-H1Rev,M86)</f>
        <v>4433.234191964004</v>
      </c>
      <c r="N87" s="27">
        <f>IF(N78=1,N86-H1Rev,N86)</f>
        <v>4521.898875803284</v>
      </c>
      <c r="O87" s="27">
        <f>IF(O78=1,O86-H1Rev,O86)</f>
        <v>4612.33685331935</v>
      </c>
      <c r="P87" s="27">
        <f>IF(P78=1,P86-H1Rev,P86)</f>
        <v>4704.583590385737</v>
      </c>
      <c r="Q87" s="27">
        <f>IF(Q78=1,Q86-H1Rev,Q86)</f>
        <v>4798.675262193452</v>
      </c>
      <c r="R87" s="27">
        <f>IF(R78=1,R86-H1Rev,R86)</f>
        <v>4894.648767437321</v>
      </c>
    </row>
    <row r="88" spans="1:18">
      <c r="A88" s="7" t="s">
        <v>466</v>
      </c>
      <c r="B88" s="9" t="s">
        <v>132</v>
      </c>
      <c r="D88" s="27">
        <f>D87*(Forecast!$D$42+MarginConvAmt*MIN((D79-YEAR(CfStart))/(ExplicitEnd-YEAR(CfStart)),1))</f>
        <v>29.69116188792832</v>
      </c>
      <c r="E88" s="27">
        <f>E87*(Forecast!$D$42+MarginConvAmt*MIN((E79-YEAR(CfStart))/(ExplicitEnd-YEAR(CfStart)),1))</f>
        <v>89.78889327916214</v>
      </c>
      <c r="F88" s="27">
        <f>F87*(Forecast!$D$42+MarginConvAmt*MIN((F79-YEAR(CfStart))/(ExplicitEnd-YEAR(CfStart)),1))</f>
        <v>126.43894491866246</v>
      </c>
      <c r="G88" s="27">
        <f>G87*(Forecast!$D$42+MarginConvAmt*MIN((G79-YEAR(CfStart))/(ExplicitEnd-YEAR(CfStart)),1))</f>
        <v>164.5492497721136</v>
      </c>
      <c r="H88" s="27">
        <f>H87*(Forecast!$D$42+MarginConvAmt*MIN((H79-YEAR(CfStart))/(ExplicitEnd-YEAR(CfStart)),1))</f>
        <v>204.31329503887392</v>
      </c>
      <c r="I88" s="27">
        <f>I87*(Forecast!$D$42+MarginConvAmt*MIN((I79-YEAR(CfStart))/(ExplicitEnd-YEAR(CfStart)),1))</f>
        <v>245.6020824163958</v>
      </c>
      <c r="J88" s="27">
        <f>J87*(Forecast!$D$42+MarginConvAmt*MIN((J79-YEAR(CfStart))/(ExplicitEnd-YEAR(CfStart)),1))</f>
        <v>288.46069597100296</v>
      </c>
      <c r="K88" s="27">
        <f>K87*(Forecast!$D$42+MarginConvAmt*MIN((K79-YEAR(CfStart))/(ExplicitEnd-YEAR(CfStart)),1))</f>
        <v>294.229909890423</v>
      </c>
      <c r="L88" s="27">
        <f>L87*(Forecast!$D$42+MarginConvAmt*MIN((L79-YEAR(CfStart))/(ExplicitEnd-YEAR(CfStart)),1))</f>
        <v>300.1145080882315</v>
      </c>
      <c r="M88" s="27">
        <f>M87*(Forecast!$D$42+MarginConvAmt*MIN((M79-YEAR(CfStart))/(ExplicitEnd-YEAR(CfStart)),1))</f>
        <v>306.1167982499962</v>
      </c>
      <c r="N88" s="27">
        <f>N87*(Forecast!$D$42+MarginConvAmt*MIN((N79-YEAR(CfStart))/(ExplicitEnd-YEAR(CfStart)),1))</f>
        <v>312.2391342149961</v>
      </c>
      <c r="O88" s="27">
        <f>O87*(Forecast!$D$42+MarginConvAmt*MIN((O79-YEAR(CfStart))/(ExplicitEnd-YEAR(CfStart)),1))</f>
        <v>318.48391689929605</v>
      </c>
      <c r="P88" s="27">
        <f>P87*(Forecast!$D$42+MarginConvAmt*MIN((P79-YEAR(CfStart))/(ExplicitEnd-YEAR(CfStart)),1))</f>
        <v>324.853595237282</v>
      </c>
      <c r="Q88" s="27">
        <f>Q87*(Forecast!$D$42+MarginConvAmt*MIN((Q79-YEAR(CfStart))/(ExplicitEnd-YEAR(CfStart)),1))</f>
        <v>331.35066714202765</v>
      </c>
      <c r="R88" s="27">
        <f>R87*(Forecast!$D$42+MarginConvAmt*MIN((R79-YEAR(CfStart))/(ExplicitEnd-YEAR(CfStart)),1))</f>
        <v>337.9776804848682</v>
      </c>
    </row>
    <row r="89" spans="1:18">
      <c r="A89" s="7" t="s">
        <v>467</v>
      </c>
      <c r="B89" s="9" t="s">
        <v>132</v>
      </c>
      <c r="D89" s="27">
        <f>IF(D78=1,H1Op+D88,D88)</f>
        <v>-229.58167111207166</v>
      </c>
      <c r="E89" s="27">
        <f>IF(E78=1,H1Op+E88,E88)</f>
        <v>89.78889327916214</v>
      </c>
      <c r="F89" s="27">
        <f>IF(F78=1,H1Op+F88,F88)</f>
        <v>126.43894491866246</v>
      </c>
      <c r="G89" s="27">
        <f>IF(G78=1,H1Op+G88,G88)</f>
        <v>164.5492497721136</v>
      </c>
      <c r="H89" s="27">
        <f>IF(H78=1,H1Op+H88,H88)</f>
        <v>204.31329503887392</v>
      </c>
      <c r="I89" s="27">
        <f>IF(I78=1,H1Op+I88,I88)</f>
        <v>245.6020824163958</v>
      </c>
      <c r="J89" s="27">
        <f>IF(J78=1,H1Op+J88,J88)</f>
        <v>288.46069597100296</v>
      </c>
      <c r="K89" s="27">
        <f>IF(K78=1,H1Op+K88,K88)</f>
        <v>294.229909890423</v>
      </c>
      <c r="L89" s="27">
        <f>IF(L78=1,H1Op+L88,L88)</f>
        <v>300.1145080882315</v>
      </c>
      <c r="M89" s="27">
        <f>IF(M78=1,H1Op+M88,M88)</f>
        <v>306.1167982499962</v>
      </c>
      <c r="N89" s="27">
        <f>IF(N78=1,H1Op+N88,N88)</f>
        <v>312.2391342149961</v>
      </c>
      <c r="O89" s="27">
        <f>IF(O78=1,H1Op+O88,O88)</f>
        <v>318.48391689929605</v>
      </c>
      <c r="P89" s="27">
        <f>IF(P78=1,H1Op+P88,P88)</f>
        <v>324.853595237282</v>
      </c>
      <c r="Q89" s="27">
        <f>IF(Q78=1,H1Op+Q88,Q88)</f>
        <v>331.35066714202765</v>
      </c>
      <c r="R89" s="27">
        <f>IF(R78=1,H1Op+R88,R88)</f>
        <v>337.9776804848682</v>
      </c>
    </row>
    <row r="90" spans="1:18">
      <c r="A90" s="7" t="s">
        <v>468</v>
      </c>
      <c r="B90" s="9" t="s">
        <v>132</v>
      </c>
      <c r="D90" s="27">
        <f>IF(D84=1,D87*DnaRatio,0)</f>
        <v>49.31484541525878</v>
      </c>
      <c r="E90" s="27">
        <f>IF(E84=1,E87*DnaRatio,0)</f>
        <v>91.81279596018963</v>
      </c>
      <c r="F90" s="27">
        <f>IF(F84=1,F87*DnaRatio,0)</f>
        <v>93.39290297437623</v>
      </c>
      <c r="G90" s="27">
        <f>IF(G84=1,G87*DnaRatio,0)</f>
        <v>95.13048240775788</v>
      </c>
      <c r="H90" s="27">
        <f>IF(H84=1,H87*DnaRatio,0)</f>
        <v>97.03309205591303</v>
      </c>
      <c r="I90" s="27">
        <f>IF(I84=1,I87*DnaRatio,0)</f>
        <v>98.9737538970313</v>
      </c>
      <c r="J90" s="27">
        <f>IF(J84=1,J87*DnaRatio,0)</f>
        <v>100.95322897497192</v>
      </c>
      <c r="K90" s="27">
        <f>IF(K84=1,K87*DnaRatio,0)</f>
        <v>0.0</v>
      </c>
      <c r="L90" s="27">
        <f>IF(L84=1,L87*DnaRatio,0)</f>
        <v>0.0</v>
      </c>
      <c r="M90" s="27">
        <f>IF(M84=1,M87*DnaRatio,0)</f>
        <v>0.0</v>
      </c>
      <c r="N90" s="27">
        <f>IF(N84=1,N87*DnaRatio,0)</f>
        <v>0.0</v>
      </c>
      <c r="O90" s="27">
        <f>IF(O84=1,O87*DnaRatio,0)</f>
        <v>0.0</v>
      </c>
      <c r="P90" s="27">
        <f>IF(P84=1,P87*DnaRatio,0)</f>
        <v>0.0</v>
      </c>
      <c r="Q90" s="27">
        <f>IF(Q84=1,Q87*DnaRatio,0)</f>
        <v>0.0</v>
      </c>
      <c r="R90" s="27">
        <f>IF(R84=1,R87*DnaRatio,0)</f>
        <v>0.0</v>
      </c>
    </row>
    <row r="91" spans="1:18">
      <c r="A91" s="7" t="s">
        <v>469</v>
      </c>
      <c r="B91" s="9" t="s">
        <v>132</v>
      </c>
      <c r="D91" s="27">
        <f>IF(D84=1,D87*CapexRatio,0)</f>
        <v>26.771531809251858</v>
      </c>
      <c r="E91" s="27">
        <f>IF(E84=1,E87*CapexRatio,0)</f>
        <v>49.842378432844754</v>
      </c>
      <c r="F91" s="27">
        <f>IF(F84=1,F87*CapexRatio,0)</f>
        <v>50.70017054059877</v>
      </c>
      <c r="G91" s="27">
        <f>IF(G84=1,G87*CapexRatio,0)</f>
        <v>51.64344964205744</v>
      </c>
      <c r="H91" s="27">
        <f>IF(H84=1,H87*CapexRatio,0)</f>
        <v>52.67631863489859</v>
      </c>
      <c r="I91" s="27">
        <f>IF(I84=1,I87*CapexRatio,0)</f>
        <v>53.729845007596566</v>
      </c>
      <c r="J91" s="27">
        <f>IF(J84=1,J87*CapexRatio,0)</f>
        <v>54.80444190774849</v>
      </c>
      <c r="K91" s="27">
        <f>IF(K84=1,K87*CapexRatio,0)</f>
        <v>0.0</v>
      </c>
      <c r="L91" s="27">
        <f>IF(L84=1,L87*CapexRatio,0)</f>
        <v>0.0</v>
      </c>
      <c r="M91" s="27">
        <f>IF(M84=1,M87*CapexRatio,0)</f>
        <v>0.0</v>
      </c>
      <c r="N91" s="27">
        <f>IF(N84=1,N87*CapexRatio,0)</f>
        <v>0.0</v>
      </c>
      <c r="O91" s="27">
        <f>IF(O84=1,O87*CapexRatio,0)</f>
        <v>0.0</v>
      </c>
      <c r="P91" s="27">
        <f>IF(P84=1,P87*CapexRatio,0)</f>
        <v>0.0</v>
      </c>
      <c r="Q91" s="27">
        <f>IF(Q84=1,Q87*CapexRatio,0)</f>
        <v>0.0</v>
      </c>
      <c r="R91" s="27">
        <f>IF(R84=1,R87*CapexRatio,0)</f>
        <v>0.0</v>
      </c>
    </row>
    <row r="92" spans="1:18">
      <c r="A92" s="7" t="s">
        <v>470</v>
      </c>
      <c r="B92" s="9" t="s">
        <v>132</v>
      </c>
      <c r="C92" s="27">
        <f>NWC_Open</f>
        <v>304.03031599999997</v>
      </c>
      <c r="D92" s="27">
        <f>IF(D84=1,D86*DSO/DaysYr+D86*COGSR*DIO/DaysYr-D86*COGSR*DPO/DaysYr,C92)</f>
        <v>145.95857859356965</v>
      </c>
      <c r="E92" s="27">
        <f>IF(E84=1,E86*DSO/DaysYr+E86*COGSR*DIO/DaysYr-E86*COGSR*DPO/DaysYr,D92)</f>
        <v>148.26693448838432</v>
      </c>
      <c r="F92" s="27">
        <f>IF(F84=1,F86*DSO/DaysYr+F86*COGSR*DIO/DaysYr-F86*COGSR*DPO/DaysYr,E92)</f>
        <v>150.81862263497578</v>
      </c>
      <c r="G92" s="27">
        <f>IF(G84=1,G86*DSO/DaysYr+G86*COGSR*DIO/DaysYr-G86*COGSR*DPO/DaysYr,F92)</f>
        <v>153.6246103333492</v>
      </c>
      <c r="H92" s="27">
        <f>IF(H84=1,H86*DSO/DaysYr+H86*COGSR*DIO/DaysYr-H86*COGSR*DPO/DaysYr,G92)</f>
        <v>156.69710254001643</v>
      </c>
      <c r="I92" s="27">
        <f>IF(I84=1,I86*DSO/DaysYr+I86*COGSR*DIO/DaysYr-I86*COGSR*DPO/DaysYr,H92)</f>
        <v>159.83104459081665</v>
      </c>
      <c r="J92" s="27">
        <f>IF(J84=1,J86*DSO/DaysYr+J86*COGSR*DIO/DaysYr-J86*COGSR*DPO/DaysYr,I92)</f>
        <v>163.02766548263298</v>
      </c>
      <c r="K92" s="27">
        <f>IF(K84=1,K86*DSO/DaysYr+K86*COGSR*DIO/DaysYr-K86*COGSR*DPO/DaysYr,J92)</f>
        <v>163.02766548263298</v>
      </c>
      <c r="L92" s="27">
        <f>IF(L84=1,L86*DSO/DaysYr+L86*COGSR*DIO/DaysYr-L86*COGSR*DPO/DaysYr,K92)</f>
        <v>163.02766548263298</v>
      </c>
      <c r="M92" s="27">
        <f>IF(M84=1,M86*DSO/DaysYr+M86*COGSR*DIO/DaysYr-M86*COGSR*DPO/DaysYr,L92)</f>
        <v>163.02766548263298</v>
      </c>
      <c r="N92" s="27">
        <f>IF(N84=1,N86*DSO/DaysYr+N86*COGSR*DIO/DaysYr-N86*COGSR*DPO/DaysYr,M92)</f>
        <v>163.02766548263298</v>
      </c>
      <c r="O92" s="27">
        <f>IF(O84=1,O86*DSO/DaysYr+O86*COGSR*DIO/DaysYr-O86*COGSR*DPO/DaysYr,N92)</f>
        <v>163.02766548263298</v>
      </c>
      <c r="P92" s="27">
        <f>IF(P84=1,P86*DSO/DaysYr+P86*COGSR*DIO/DaysYr-P86*COGSR*DPO/DaysYr,O92)</f>
        <v>163.02766548263298</v>
      </c>
      <c r="Q92" s="27">
        <f>IF(Q84=1,Q86*DSO/DaysYr+Q86*COGSR*DIO/DaysYr-Q86*COGSR*DPO/DaysYr,P92)</f>
        <v>163.02766548263298</v>
      </c>
      <c r="R92" s="27">
        <f>IF(R84=1,R86*DSO/DaysYr+R86*COGSR*DIO/DaysYr-R86*COGSR*DPO/DaysYr,Q92)</f>
        <v>163.02766548263298</v>
      </c>
    </row>
    <row r="93" spans="1:18">
      <c r="A93" s="7" t="s">
        <v>471</v>
      </c>
      <c r="B93" s="9" t="s">
        <v>132</v>
      </c>
      <c r="D93" s="40">
        <f>IF(D84=1,D92-C92,0)</f>
        <v>-158.07173740643032</v>
      </c>
      <c r="E93" s="40">
        <f>IF(E84=1,E92-D92,0)</f>
        <v>2.3083558948146674</v>
      </c>
      <c r="F93" s="40">
        <f>IF(F84=1,F92-E92,0)</f>
        <v>2.5516881465914594</v>
      </c>
      <c r="G93" s="40">
        <f>IF(G84=1,G92-F92,0)</f>
        <v>2.8059876983734284</v>
      </c>
      <c r="H93" s="40">
        <f>IF(H84=1,H92-G92,0)</f>
        <v>3.0724922066672207</v>
      </c>
      <c r="I93" s="40">
        <f>IF(I84=1,I92-H92,0)</f>
        <v>3.133942050800215</v>
      </c>
      <c r="J93" s="40">
        <f>IF(J84=1,J92-I92,0)</f>
        <v>3.1966208918163375</v>
      </c>
      <c r="K93" s="40">
        <f>IF(K84=1,K92-J92,0)</f>
        <v>0.0</v>
      </c>
      <c r="L93" s="40">
        <f>IF(L84=1,L92-K92,0)</f>
        <v>0.0</v>
      </c>
      <c r="M93" s="40">
        <f>IF(M84=1,M92-L92,0)</f>
        <v>0.0</v>
      </c>
      <c r="N93" s="40">
        <f>IF(N84=1,N92-M92,0)</f>
        <v>0.0</v>
      </c>
      <c r="O93" s="40">
        <f>IF(O84=1,O92-N92,0)</f>
        <v>0.0</v>
      </c>
      <c r="P93" s="40">
        <f>IF(P84=1,P92-O92,0)</f>
        <v>0.0</v>
      </c>
      <c r="Q93" s="40">
        <f>IF(Q84=1,Q92-P92,0)</f>
        <v>0.0</v>
      </c>
      <c r="R93" s="40">
        <f>IF(R84=1,R92-Q92,0)</f>
        <v>0.0</v>
      </c>
    </row>
    <row r="94" spans="1:18">
      <c r="A94" s="7" t="s">
        <v>472</v>
      </c>
      <c r="B94" s="9" t="s">
        <v>16</v>
      </c>
      <c r="D94" s="30">
        <f>IF(D89&gt;0,IF(D89&gt;0,SUMPRODUCT((D89&gt;TaxFrom)*(D89-TaxFrom)*TaxDRate),0)/D89,0)</f>
        <v>0.0</v>
      </c>
      <c r="E94" s="30">
        <f>IF(E89&gt;0,IF(E89&gt;0,SUMPRODUCT((E89&gt;TaxFrom)*(E89-TaxFrom)*TaxDRate),0)/E89,0)</f>
        <v>0.11</v>
      </c>
      <c r="F94" s="30">
        <f>IF(F89&gt;0,IF(F89&gt;0,SUMPRODUCT((F89&gt;TaxFrom)*(F89-TaxFrom)*TaxDRate),0)/F89,0)</f>
        <v>0.11</v>
      </c>
      <c r="G94" s="30">
        <f>IF(G89&gt;0,IF(G89&gt;0,SUMPRODUCT((G89&gt;TaxFrom)*(G89-TaxFrom)*TaxDRate),0)/G89,0)</f>
        <v>0.11</v>
      </c>
      <c r="H94" s="30">
        <f>IF(H89&gt;0,IF(H89&gt;0,SUMPRODUCT((H89&gt;TaxFrom)*(H89-TaxFrom)*TaxDRate),0)/H89,0)</f>
        <v>0.11232222995662548</v>
      </c>
      <c r="I94" s="30">
        <f>IF(I89&gt;0,IF(I89&gt;0,SUMPRODUCT((I89&gt;TaxFrom)*(I89-TaxFrom)*TaxDRate),0)/I89,0)</f>
        <v>0.1304242122723495</v>
      </c>
      <c r="J94" s="30">
        <f>IF(J89&gt;0,IF(J89&gt;0,SUMPRODUCT((J89&gt;TaxFrom)*(J89-TaxFrom)*TaxDRate),0)/J89,0)</f>
        <v>0.143733110585674</v>
      </c>
      <c r="K94" s="30">
        <f>IF(K89&gt;0,IF(K89&gt;0,SUMPRODUCT((K89&gt;TaxFrom)*(K89-TaxFrom)*TaxDRate),0)/K89,0)</f>
        <v>0.14522853978987646</v>
      </c>
      <c r="L94" s="30">
        <f>IF(L89&gt;0,IF(L89&gt;0,SUMPRODUCT((L89&gt;TaxFrom)*(L89-TaxFrom)*TaxDRate),0)/L89,0)</f>
        <v>0.14669464685282008</v>
      </c>
      <c r="M94" s="30">
        <f>IF(M89&gt;0,IF(M89&gt;0,SUMPRODUCT((M89&gt;TaxFrom)*(M89-TaxFrom)*TaxDRate),0)/M89,0)</f>
        <v>0.14813200671845106</v>
      </c>
      <c r="N94" s="30">
        <f>IF(N89&gt;0,IF(N89&gt;0,SUMPRODUCT((N89&gt;TaxFrom)*(N89-TaxFrom)*TaxDRate),0)/N89,0)</f>
        <v>0.14954118305730493</v>
      </c>
      <c r="O94" s="30">
        <f>IF(O89&gt;0,IF(O89&gt;0,SUMPRODUCT((O89&gt;TaxFrom)*(O89-TaxFrom)*TaxDRate),0)/O89,0)</f>
        <v>0.15092272848755386</v>
      </c>
      <c r="P94" s="30">
        <f>IF(P89&gt;0,IF(P89&gt;0,SUMPRODUCT((P89&gt;TaxFrom)*(P89-TaxFrom)*TaxDRate),0)/P89,0)</f>
        <v>0.1522771847917195</v>
      </c>
      <c r="Q94" s="30">
        <f>IF(Q89&gt;0,IF(Q89&gt;0,SUMPRODUCT((Q89&gt;TaxFrom)*(Q89-TaxFrom)*TaxDRate),0)/Q89,0)</f>
        <v>0.15360508312913676</v>
      </c>
      <c r="R94" s="30">
        <f>IF(R89&gt;0,IF(R89&gt;0,SUMPRODUCT((R89&gt;TaxFrom)*(R89-TaxFrom)*TaxDRate),0)/R89,0)</f>
        <v>0.15490694424425172</v>
      </c>
    </row>
    <row r="95" spans="1:18">
      <c r="A95" s="7" t="s">
        <v>473</v>
      </c>
      <c r="B95" s="9" t="s">
        <v>132</v>
      </c>
      <c r="D95" s="40">
        <f>MAX(D88,0)*D94</f>
        <v>0.0</v>
      </c>
      <c r="E95" s="40">
        <f>MAX(E88,0)*E94</f>
        <v>9.876778260707836</v>
      </c>
      <c r="F95" s="40">
        <f>MAX(F88,0)*F94</f>
        <v>13.90828394105287</v>
      </c>
      <c r="G95" s="40">
        <f>MAX(G88,0)*G94</f>
        <v>18.100417474932495</v>
      </c>
      <c r="H95" s="40">
        <f>MAX(H88,0)*H94</f>
        <v>22.948924908552264</v>
      </c>
      <c r="I95" s="40">
        <f>MAX(I88,0)*I94</f>
        <v>32.03245813160708</v>
      </c>
      <c r="J95" s="40">
        <f>MAX(J88,0)*J94</f>
        <v>41.46135311362066</v>
      </c>
      <c r="K95" s="40">
        <f>MAX(K88,0)*K94</f>
        <v>42.73058017589307</v>
      </c>
      <c r="L95" s="40">
        <f>MAX(L88,0)*L94</f>
        <v>44.02519177941093</v>
      </c>
      <c r="M95" s="40">
        <f>MAX(M88,0)*M94</f>
        <v>45.34569561499916</v>
      </c>
      <c r="N95" s="40">
        <f>MAX(N88,0)*N94</f>
        <v>46.69260952729914</v>
      </c>
      <c r="O95" s="40">
        <f>MAX(O88,0)*O94</f>
        <v>48.06646171784512</v>
      </c>
      <c r="P95" s="40">
        <f>MAX(P88,0)*P94</f>
        <v>49.46779095220204</v>
      </c>
      <c r="Q95" s="40">
        <f>MAX(Q88,0)*Q94</f>
        <v>50.89714677124608</v>
      </c>
      <c r="R95" s="40">
        <f>MAX(R88,0)*R94</f>
        <v>52.355089706671</v>
      </c>
    </row>
    <row r="96" spans="1:18">
      <c r="A96" s="7" t="s">
        <v>474</v>
      </c>
      <c r="B96" s="9" t="s">
        <v>132</v>
      </c>
      <c r="D96" s="40">
        <f>D88-D95</f>
        <v>29.69116188792832</v>
      </c>
      <c r="E96" s="40">
        <f>E88-E95</f>
        <v>79.9121150184543</v>
      </c>
      <c r="F96" s="40">
        <f>F88-F95</f>
        <v>112.53066097760959</v>
      </c>
      <c r="G96" s="40">
        <f>G88-G95</f>
        <v>146.4488322971811</v>
      </c>
      <c r="H96" s="40">
        <f>H88-H95</f>
        <v>181.36437013032165</v>
      </c>
      <c r="I96" s="40">
        <f>I88-I95</f>
        <v>213.56962428478872</v>
      </c>
      <c r="J96" s="40">
        <f>J88-J95</f>
        <v>246.99934285738232</v>
      </c>
      <c r="K96" s="40">
        <f>K88-K95</f>
        <v>251.49932971452995</v>
      </c>
      <c r="L96" s="40">
        <f>L88-L95</f>
        <v>256.08931630882057</v>
      </c>
      <c r="M96" s="40">
        <f>M88-M95</f>
        <v>260.771102634997</v>
      </c>
      <c r="N96" s="40">
        <f>N88-N95</f>
        <v>265.546524687697</v>
      </c>
      <c r="O96" s="40">
        <f>O88-O95</f>
        <v>270.4174551814509</v>
      </c>
      <c r="P96" s="40">
        <f>P88-P95</f>
        <v>275.3858042850799</v>
      </c>
      <c r="Q96" s="40">
        <f>Q88-Q95</f>
        <v>280.4535203707816</v>
      </c>
      <c r="R96" s="40">
        <f>R88-R95</f>
        <v>285.6225907781972</v>
      </c>
    </row>
    <row r="97" spans="1:18">
      <c r="A97" s="7" t="s">
        <v>663</v>
      </c>
      <c r="B97" s="9" t="s">
        <v>132</v>
      </c>
      <c r="D97" s="40">
        <f>D96+D90-D91-D93</f>
        <v>210.30621290036555</v>
      </c>
      <c r="E97" s="40">
        <f>E96+E90-E91-E93</f>
        <v>119.57417665098453</v>
      </c>
      <c r="F97" s="40">
        <f>F96+F90-F91-F93</f>
        <v>152.67170526479558</v>
      </c>
      <c r="G97" s="40">
        <f>G96+G90-G91-G93</f>
        <v>187.1298773645081</v>
      </c>
      <c r="H97" s="40">
        <f>H96+H90-H91-H93</f>
        <v>222.64865134466888</v>
      </c>
      <c r="I97" s="40">
        <f>I96+I90-I91-I93</f>
        <v>255.67959112342322</v>
      </c>
      <c r="J97" s="40">
        <f>J96+J90-J91-J93</f>
        <v>289.95150903278943</v>
      </c>
      <c r="K97" s="40">
        <f>K96+K90-K91-K93</f>
        <v>251.49932971452995</v>
      </c>
      <c r="L97" s="40">
        <f>L96+L90-L91-L93</f>
        <v>256.08931630882057</v>
      </c>
      <c r="M97" s="40">
        <f>M96+M90-M91-M93</f>
        <v>260.771102634997</v>
      </c>
      <c r="N97" s="40">
        <f>N96+N90-N91-N93</f>
        <v>265.546524687697</v>
      </c>
      <c r="O97" s="40">
        <f>O96+O90-O91-O93</f>
        <v>270.4174551814509</v>
      </c>
      <c r="P97" s="40">
        <f>P96+P90-P91-P93</f>
        <v>275.3858042850799</v>
      </c>
      <c r="Q97" s="40">
        <f>Q96+Q90-Q91-Q93</f>
        <v>280.4535203707816</v>
      </c>
      <c r="R97" s="40">
        <f>R96+R90-R91-R93</f>
        <v>285.6225907781972</v>
      </c>
    </row>
    <row r="99" spans="1:18">
      <c r="A99" s="7" t="s">
        <v>664</v>
      </c>
      <c r="B99" s="9" t="s">
        <v>132</v>
      </c>
      <c r="C99" s="27">
        <f>D86*Forecast!$D$42</f>
        <v>54.4174324654688</v>
      </c>
    </row>
    <row r="100" spans="1:18">
      <c r="A100" s="7" t="s">
        <v>665</v>
      </c>
      <c r="B100" s="9" t="s">
        <v>132</v>
      </c>
      <c r="C100" s="40">
        <f>D89</f>
        <v>-229.58167111207166</v>
      </c>
    </row>
    <row r="101" spans="1:18">
      <c r="A101" s="7" t="s">
        <v>556</v>
      </c>
      <c r="B101" s="9" t="s">
        <v>132</v>
      </c>
      <c r="C101" s="27">
        <f>IF(RonicStart="normal",C99-IF(C99&gt;0,SUMPRODUCT((C99&gt;TaxFrom)*(C99-TaxFrom)*TaxDRate),0),C100-IF(C100&gt;0,SUMPRODUCT((C100&gt;TaxFrom)*(C100-TaxFrom)*TaxDRate),0))</f>
        <v>48.43151489426723</v>
      </c>
    </row>
    <row r="102" spans="1:18">
      <c r="A102" s="7" t="s">
        <v>558</v>
      </c>
      <c r="B102" s="9" t="s">
        <v>132</v>
      </c>
      <c r="C102" s="27">
        <f>INDEX($D$88:$R$88,MATCH(ExplicitEnd,$D$79:$R$79,0))</f>
        <v>288.46069597100296</v>
      </c>
    </row>
    <row r="103" spans="1:18">
      <c r="A103" s="7" t="s">
        <v>559</v>
      </c>
      <c r="B103" s="9" t="s">
        <v>132</v>
      </c>
      <c r="C103" s="27">
        <f>C102-IF(C102&gt;0,SUMPRODUCT((C102&gt;TaxFrom)*(C102-TaxFrom)*TaxDRate),0)</f>
        <v>246.99934285738232</v>
      </c>
    </row>
    <row r="104" spans="1:18">
      <c r="A104" s="7" t="s">
        <v>666</v>
      </c>
      <c r="B104" s="9" t="s">
        <v>132</v>
      </c>
      <c r="C104" s="40">
        <f>SUMPRODUCT(($D$78:$R$78&gt;1)*$D$84:$R$84*($D$91:$R$91-$D$90:$R$90+$D$93:$R$93))</f>
        <v>-246.83056521543205</v>
      </c>
    </row>
    <row r="105" spans="1:18">
      <c r="A105" s="7" t="s">
        <v>561</v>
      </c>
      <c r="C105" s="31">
        <f>IF(C104&gt;0,(C103-C101)/C104,0)</f>
        <v>0.0</v>
      </c>
    </row>
    <row r="106" spans="1:18">
      <c r="A106" s="7" t="s">
        <v>531</v>
      </c>
      <c r="C106" s="28">
        <f>T_Kd</f>
        <v>0.11</v>
      </c>
    </row>
    <row r="107" spans="1:18">
      <c r="A107" s="7" t="s">
        <v>667</v>
      </c>
      <c r="B107" s="9" t="s">
        <v>132</v>
      </c>
      <c r="C107" s="40">
        <f>$R$87</f>
        <v>4894.648767437321</v>
      </c>
    </row>
    <row r="108" spans="1:18">
      <c r="A108" s="7" t="s">
        <v>570</v>
      </c>
      <c r="B108" s="9" t="s">
        <v>132</v>
      </c>
      <c r="C108" s="27">
        <f>(C107*(1+GTermCfg)*(Forecast!$D$42+MarginConvAmt))-IF((C107*(1+GTermCfg)*(Forecast!$D$42+MarginConvAmt))&gt;0,SUMPRODUCT(((C107*(1+GTermCfg)*(Forecast!$D$42+MarginConvAmt))&gt;TaxFrom)*((C107*(1+GTermCfg)*(Forecast!$D$42+MarginConvAmt))-TaxFrom)*TaxDRate),0)</f>
        <v>290.89504259376116</v>
      </c>
    </row>
    <row r="110" spans="1:18">
      <c r="A110" s="3" t="s">
        <v>71</v>
      </c>
      <c r="C110" s="30">
        <f>SRP_1</f>
        <v>0.0</v>
      </c>
    </row>
    <row r="111" spans="1:18">
      <c r="A111" s="7" t="s">
        <v>668</v>
      </c>
      <c r="C111" s="45">
        <f>(1-WD)*(Rf+BetaL*MRP+SRP_1)+WD*Kd_Pre*(1-C106)</f>
        <v>0.09212124321403853</v>
      </c>
    </row>
    <row r="112" spans="1:18">
      <c r="A112" s="7" t="s">
        <v>562</v>
      </c>
      <c r="C112" s="30">
        <f>IF(C104&lt;=0,C111,IF(C105&lt;C111,C111,IF(C105&gt;RonicCap,MAX(RonicCap,C111),C105)))</f>
        <v>0.09212124321403853</v>
      </c>
    </row>
    <row r="113" spans="1:18">
      <c r="A113" s="7" t="s">
        <v>477</v>
      </c>
      <c r="D113" s="40">
        <f>D97-IF(D84=1,0,D96*D85/C112)</f>
        <v>210.30621290036555</v>
      </c>
      <c r="E113" s="40">
        <f>E97-IF(E84=1,0,E96*E85/C112)</f>
        <v>119.57417665098453</v>
      </c>
      <c r="F113" s="40">
        <f>F97-IF(F84=1,0,F96*F85/C112)</f>
        <v>152.67170526479558</v>
      </c>
      <c r="G113" s="40">
        <f>G97-IF(G84=1,0,G96*G85/C112)</f>
        <v>187.1298773645081</v>
      </c>
      <c r="H113" s="40">
        <f>H97-IF(H84=1,0,H96*H85/C112)</f>
        <v>222.64865134466888</v>
      </c>
      <c r="I113" s="40">
        <f>I97-IF(I84=1,0,I96*I85/C112)</f>
        <v>255.67959112342322</v>
      </c>
      <c r="J113" s="40">
        <f>J97-IF(J84=1,0,J96*J85/C112)</f>
        <v>289.95150903278943</v>
      </c>
      <c r="K113" s="40">
        <f>K97-IF(K84=1,0,K96*K85/C112)</f>
        <v>196.89751998207</v>
      </c>
      <c r="L113" s="40">
        <f>L97-IF(L84=1,0,L96*L85/C112)</f>
        <v>200.4909966652588</v>
      </c>
      <c r="M113" s="40">
        <f>M97-IF(M84=1,0,M96*M85/C112)</f>
        <v>204.15634288211135</v>
      </c>
      <c r="N113" s="40">
        <f>N97-IF(N84=1,0,N96*N85/C112)</f>
        <v>207.89499602330096</v>
      </c>
      <c r="O113" s="40">
        <f>O97-IF(O84=1,0,O96*O85/C112)</f>
        <v>211.70842222731434</v>
      </c>
      <c r="P113" s="40">
        <f>P97-IF(P84=1,0,P96*P85/C112)</f>
        <v>215.598116955408</v>
      </c>
      <c r="Q113" s="40">
        <f>Q97-IF(Q84=1,0,Q96*Q85/C112)</f>
        <v>219.56560557806355</v>
      </c>
      <c r="R113" s="40">
        <f>R97-IF(R84=1,0,R96*R85/C112)</f>
        <v>223.6124439731722</v>
      </c>
    </row>
    <row r="114" spans="1:18">
      <c r="A114" s="7" t="s">
        <v>669</v>
      </c>
      <c r="D114" s="27">
        <f>D113*(1+C111)^(-DCF!D10)</f>
        <v>205.68648211093128</v>
      </c>
      <c r="E114" s="27">
        <f>E113*(1+C111)^(-DCF!E10)</f>
        <v>109.44836213767573</v>
      </c>
      <c r="F114" s="27">
        <f>F113*(1+C111)^(-DCF!F10)</f>
        <v>127.94023484498048</v>
      </c>
      <c r="G114" s="27">
        <f>G113*(1+C111)^(-DCF!G10)</f>
        <v>143.57156666069437</v>
      </c>
      <c r="H114" s="27">
        <f>H113*(1+C111)^(-DCF!H10)</f>
        <v>156.4136031247221</v>
      </c>
      <c r="I114" s="27">
        <f>I113*(1+C111)^(-DCF!I10)</f>
        <v>164.46733680419277</v>
      </c>
      <c r="J114" s="27">
        <f>J113*(1+C111)^(-DCF!J10)</f>
        <v>170.75982050199596</v>
      </c>
      <c r="K114" s="27">
        <f>K113*(1+C111)^(-DCF!K10)</f>
        <v>106.16400204205277</v>
      </c>
      <c r="L114" s="27">
        <f>L113*(1+C111)^(-DCF!L10)</f>
        <v>98.98310102601997</v>
      </c>
      <c r="M114" s="27">
        <f>M113*(1+C111)^(-DCF!M10)</f>
        <v>92.29075599730696</v>
      </c>
      <c r="N114" s="27">
        <f>N113*(1+C111)^(-DCF!N10)</f>
        <v>86.04310645591552</v>
      </c>
      <c r="O114" s="27">
        <f>O113*(1+C111)^(-DCF!O10)</f>
        <v>80.22078369151558</v>
      </c>
      <c r="P114" s="27">
        <f>P113*(1+C111)^(-DCF!P10)</f>
        <v>74.80366444731791</v>
      </c>
      <c r="Q114" s="27">
        <f>Q113*(1+C111)^(-DCF!Q10)</f>
        <v>69.7543610853776</v>
      </c>
      <c r="R114" s="27">
        <f>R113*(1+C111)^(-DCF!R10)</f>
        <v>65.0398817313753</v>
      </c>
    </row>
    <row r="115" spans="1:18">
      <c r="A115" s="7" t="s">
        <v>670</v>
      </c>
      <c r="B115" s="9" t="s">
        <v>132</v>
      </c>
      <c r="C115" s="27">
        <f>C108*(1-GTermCfg/C112)/(C111-GTermCfg)*IF(MidYear=1,(1+C111)^0.5,1)</f>
        <v>3299.9849344927848</v>
      </c>
    </row>
    <row r="116" spans="1:18">
      <c r="A116" s="7" t="s">
        <v>574</v>
      </c>
      <c r="B116" s="9" t="s">
        <v>132</v>
      </c>
      <c r="C116" s="27">
        <f>C115*(1+C111)^(-DCF!R9)</f>
        <v>918.3492561706479</v>
      </c>
    </row>
    <row r="117" spans="1:18">
      <c r="A117" s="7" t="s">
        <v>671</v>
      </c>
      <c r="B117" s="9" t="s">
        <v>132</v>
      </c>
      <c r="C117" s="40">
        <f>SUM(D114:R114)+C116</f>
        <v>2669.936318832722</v>
      </c>
    </row>
    <row r="118" spans="1:18">
      <c r="A118" s="7" t="s">
        <v>605</v>
      </c>
      <c r="B118" s="9" t="s">
        <v>132</v>
      </c>
      <c r="C118" s="27">
        <f>C117*(1+C111)^((ValDate-DiscDate)/DaysYr)</f>
        <v>2729.90324952916</v>
      </c>
    </row>
    <row r="119" spans="1:18">
      <c r="A119" s="7" t="s">
        <v>672</v>
      </c>
      <c r="B119" s="9" t="s">
        <v>132</v>
      </c>
      <c r="C119" s="27">
        <f>C118+BridgeAdj</f>
        <v>238836.23107952913</v>
      </c>
    </row>
    <row r="120" spans="1:18">
      <c r="A120" s="3" t="s">
        <v>673</v>
      </c>
      <c r="B120" s="9" t="s">
        <v>129</v>
      </c>
      <c r="C120" s="56">
        <f>C119*MnToWon/Shares</f>
        <v>8733.86445114907</v>
      </c>
    </row>
    <row r="121" spans="1:18">
      <c r="A121" s="7" t="s">
        <v>599</v>
      </c>
      <c r="C121" s="29">
        <f>C116/C117</f>
        <v>0.3439592359162124</v>
      </c>
    </row>
    <row r="123" spans="1:18">
      <c r="A123" s="3" t="s">
        <v>74</v>
      </c>
      <c r="C123" s="30">
        <f>SRP_2</f>
        <v>0.01</v>
      </c>
    </row>
    <row r="124" spans="1:18">
      <c r="A124" s="7" t="s">
        <v>668</v>
      </c>
      <c r="C124" s="45">
        <f>(1-WD)*(Rf+BetaL*MRP+SRP_2)+WD*Kd_Pre*(1-C106)</f>
        <v>0.10207882733578563</v>
      </c>
    </row>
    <row r="125" spans="1:18">
      <c r="A125" s="7" t="s">
        <v>562</v>
      </c>
      <c r="C125" s="30">
        <f>IF(C104&lt;=0,C124,IF(C105&lt;C124,C124,IF(C105&gt;RonicCap,MAX(RonicCap,C124),C105)))</f>
        <v>0.10207882733578563</v>
      </c>
    </row>
    <row r="126" spans="1:18">
      <c r="A126" s="7" t="s">
        <v>477</v>
      </c>
      <c r="D126" s="40">
        <f>D97-IF(D84=1,0,D96*D85/C125)</f>
        <v>210.30621290036555</v>
      </c>
      <c r="E126" s="40">
        <f>E97-IF(E84=1,0,E96*E85/C125)</f>
        <v>119.57417665098453</v>
      </c>
      <c r="F126" s="40">
        <f>F97-IF(F84=1,0,F96*F85/C125)</f>
        <v>152.67170526479558</v>
      </c>
      <c r="G126" s="40">
        <f>G97-IF(G84=1,0,G96*G85/C125)</f>
        <v>187.1298773645081</v>
      </c>
      <c r="H126" s="40">
        <f>H97-IF(H84=1,0,H96*H85/C125)</f>
        <v>222.64865134466888</v>
      </c>
      <c r="I126" s="40">
        <f>I97-IF(I84=1,0,I96*I85/C125)</f>
        <v>255.67959112342322</v>
      </c>
      <c r="J126" s="40">
        <f>J97-IF(J84=1,0,J96*J85/C125)</f>
        <v>289.95150903278943</v>
      </c>
      <c r="K126" s="40">
        <f>K97-IF(K84=1,0,K96*K85/C125)</f>
        <v>202.22381660793255</v>
      </c>
      <c r="L126" s="40">
        <f>L97-IF(L84=1,0,L96*L85/C125)</f>
        <v>205.9145008269731</v>
      </c>
      <c r="M126" s="40">
        <f>M97-IF(M84=1,0,M96*M85/C125)</f>
        <v>209.67899873039448</v>
      </c>
      <c r="N126" s="40">
        <f>N97-IF(N84=1,0,N96*N85/C125)</f>
        <v>213.51878659188432</v>
      </c>
      <c r="O126" s="40">
        <f>O97-IF(O84=1,0,O96*O85/C125)</f>
        <v>217.43537021060388</v>
      </c>
      <c r="P126" s="40">
        <f>P97-IF(P84=1,0,P96*P85/C125)</f>
        <v>221.43028550169782</v>
      </c>
      <c r="Q126" s="40">
        <f>Q97-IF(Q84=1,0,Q96*Q85/C125)</f>
        <v>225.50509909861373</v>
      </c>
      <c r="R126" s="40">
        <f>R97-IF(R84=1,0,R96*R85/C125)</f>
        <v>229.6614089674679</v>
      </c>
    </row>
    <row r="127" spans="1:18">
      <c r="A127" s="7" t="s">
        <v>669</v>
      </c>
      <c r="D127" s="27">
        <f>D126*(1+C124)^(-DCF!D10)</f>
        <v>205.21646380903823</v>
      </c>
      <c r="E127" s="27">
        <f>E126*(1+C124)^(-DCF!E10)</f>
        <v>108.45542073672921</v>
      </c>
      <c r="F127" s="27">
        <f>F126*(1+C124)^(-DCF!F10)</f>
        <v>125.63248097206922</v>
      </c>
      <c r="G127" s="27">
        <f>G126*(1+C124)^(-DCF!G10)</f>
        <v>139.70631200115054</v>
      </c>
      <c r="H127" s="27">
        <f>H126*(1+C124)^(-DCF!H10)</f>
        <v>150.82742097904293</v>
      </c>
      <c r="I127" s="27">
        <f>I126*(1+C124)^(-DCF!I10)</f>
        <v>157.1605863174412</v>
      </c>
      <c r="J127" s="27">
        <f>J126*(1+C124)^(-DCF!J10)</f>
        <v>161.69718750602465</v>
      </c>
      <c r="K127" s="27">
        <f>K126*(1+C124)^(-DCF!K10)</f>
        <v>102.31490628267086</v>
      </c>
      <c r="L127" s="27">
        <f>L126*(1+C124)^(-DCF!L10)</f>
        <v>94.53244279219074</v>
      </c>
      <c r="M127" s="27">
        <f>M126*(1+C124)^(-DCF!M10)</f>
        <v>87.34463297152666</v>
      </c>
      <c r="N127" s="27">
        <f>N126*(1+C124)^(-DCF!N10)</f>
        <v>80.69505061417567</v>
      </c>
      <c r="O127" s="27">
        <f>O126*(1+C124)^(-DCF!O10)</f>
        <v>74.55392513205442</v>
      </c>
      <c r="P127" s="27">
        <f>P126*(1+C124)^(-DCF!P10)</f>
        <v>68.8913478996691</v>
      </c>
      <c r="Q127" s="27">
        <f>Q126*(1+C124)^(-DCF!Q10)</f>
        <v>63.660694120202464</v>
      </c>
      <c r="R127" s="27">
        <f>R126*(1+C124)^(-DCF!R10)</f>
        <v>58.821018939733385</v>
      </c>
    </row>
    <row r="128" spans="1:18">
      <c r="A128" s="7" t="s">
        <v>670</v>
      </c>
      <c r="B128" s="9" t="s">
        <v>132</v>
      </c>
      <c r="C128" s="27">
        <f>C108*(1-GTermCfg/C125)/(C124-GTermCfg)*IF(MidYear=1,(1+C124)^0.5,1)</f>
        <v>2991.6237840226527</v>
      </c>
    </row>
    <row r="129" spans="1:18">
      <c r="A129" s="7" t="s">
        <v>574</v>
      </c>
      <c r="B129" s="9" t="s">
        <v>132</v>
      </c>
      <c r="C129" s="27">
        <f>C128*(1+C124)^(-DCF!R9)</f>
        <v>729.7722427749712</v>
      </c>
    </row>
    <row r="130" spans="1:18">
      <c r="A130" s="7" t="s">
        <v>671</v>
      </c>
      <c r="B130" s="9" t="s">
        <v>132</v>
      </c>
      <c r="C130" s="40">
        <f>SUM(D127:R127)+C129</f>
        <v>2409.2821338486906</v>
      </c>
    </row>
    <row r="131" spans="1:18">
      <c r="A131" s="7" t="s">
        <v>605</v>
      </c>
      <c r="B131" s="9" t="s">
        <v>132</v>
      </c>
      <c r="C131" s="27">
        <f>C130*(1+C124)^((ValDate-DiscDate)/DaysYr)</f>
        <v>2469.0368013051884</v>
      </c>
    </row>
    <row r="132" spans="1:18">
      <c r="A132" s="7" t="s">
        <v>672</v>
      </c>
      <c r="B132" s="9" t="s">
        <v>132</v>
      </c>
      <c r="C132" s="27">
        <f>C131+BridgeAdj</f>
        <v>238575.36463130516</v>
      </c>
    </row>
    <row r="133" spans="1:18">
      <c r="A133" s="3" t="s">
        <v>673</v>
      </c>
      <c r="B133" s="9" t="s">
        <v>129</v>
      </c>
      <c r="C133" s="56">
        <f>C132*MnToWon/Shares</f>
        <v>8724.324976387043</v>
      </c>
    </row>
    <row r="134" spans="1:18">
      <c r="A134" s="7" t="s">
        <v>599</v>
      </c>
      <c r="C134" s="29">
        <f>C129/C130</f>
        <v>0.3029002840813839</v>
      </c>
    </row>
    <row r="136" spans="1:18">
      <c r="A136" s="3" t="s">
        <v>75</v>
      </c>
      <c r="C136" s="30">
        <f>SRP_3</f>
        <v>0.02</v>
      </c>
    </row>
    <row r="137" spans="1:18">
      <c r="A137" s="7" t="s">
        <v>668</v>
      </c>
      <c r="C137" s="45">
        <f>(1-WD)*(Rf+BetaL*MRP+SRP_3)+WD*Kd_Pre*(1-C106)</f>
        <v>0.11203641145753274</v>
      </c>
    </row>
    <row r="138" spans="1:18">
      <c r="A138" s="7" t="s">
        <v>562</v>
      </c>
      <c r="C138" s="30">
        <f>IF(C104&lt;=0,C137,IF(C105&lt;C137,C137,IF(C105&gt;RonicCap,MAX(RonicCap,C137),C105)))</f>
        <v>0.11203641145753274</v>
      </c>
    </row>
    <row r="139" spans="1:18">
      <c r="A139" s="7" t="s">
        <v>477</v>
      </c>
      <c r="D139" s="40">
        <f>D97-IF(D84=1,0,D96*D85/C138)</f>
        <v>210.30621290036555</v>
      </c>
      <c r="E139" s="40">
        <f>E97-IF(E84=1,0,E96*E85/C138)</f>
        <v>119.57417665098453</v>
      </c>
      <c r="F139" s="40">
        <f>F97-IF(F84=1,0,F96*F85/C138)</f>
        <v>152.67170526479558</v>
      </c>
      <c r="G139" s="40">
        <f>G97-IF(G84=1,0,G96*G85/C138)</f>
        <v>187.1298773645081</v>
      </c>
      <c r="H139" s="40">
        <f>H97-IF(H84=1,0,H96*H85/C138)</f>
        <v>222.64865134466888</v>
      </c>
      <c r="I139" s="40">
        <f>I97-IF(I84=1,0,I96*I85/C138)</f>
        <v>255.67959112342322</v>
      </c>
      <c r="J139" s="40">
        <f>J97-IF(J84=1,0,J96*J85/C138)</f>
        <v>289.95150903278943</v>
      </c>
      <c r="K139" s="40">
        <f>K97-IF(K84=1,0,K96*K85/C138)</f>
        <v>206.60333091509312</v>
      </c>
      <c r="L139" s="40">
        <f>L97-IF(L84=1,0,L96*L85/C138)</f>
        <v>210.37394342651598</v>
      </c>
      <c r="M139" s="40">
        <f>M97-IF(M84=1,0,M96*M85/C138)</f>
        <v>214.2199681881673</v>
      </c>
      <c r="N139" s="40">
        <f>N97-IF(N84=1,0,N96*N85/C138)</f>
        <v>218.14291344505165</v>
      </c>
      <c r="O139" s="40">
        <f>O97-IF(O84=1,0,O96*O85/C138)</f>
        <v>222.14431760707362</v>
      </c>
      <c r="P139" s="40">
        <f>P97-IF(P84=1,0,P96*P85/C138)</f>
        <v>226.22574985233604</v>
      </c>
      <c r="Q139" s="40">
        <f>Q97-IF(Q84=1,0,Q96*Q85/C138)</f>
        <v>230.38881074250378</v>
      </c>
      <c r="R139" s="40">
        <f>R97-IF(R84=1,0,R96*R85/C138)</f>
        <v>234.63513285047483</v>
      </c>
    </row>
    <row r="140" spans="1:18">
      <c r="A140" s="7" t="s">
        <v>669</v>
      </c>
      <c r="D140" s="27">
        <f>D139*(1+C137)^(-DCF!D10)</f>
        <v>204.75173281730517</v>
      </c>
      <c r="E140" s="27">
        <f>E139*(1+C137)^(-DCF!E10)</f>
        <v>107.48029787243355</v>
      </c>
      <c r="F140" s="27">
        <f>F139*(1+C137)^(-DCF!F10)</f>
        <v>123.38655376187857</v>
      </c>
      <c r="G140" s="27">
        <f>G139*(1+C137)^(-DCF!G10)</f>
        <v>135.97849388237464</v>
      </c>
      <c r="H140" s="27">
        <f>H139*(1+C137)^(-DCF!H10)</f>
        <v>145.4883286493015</v>
      </c>
      <c r="I140" s="27">
        <f>I139*(1+C137)^(-DCF!I10)</f>
        <v>150.23985006048326</v>
      </c>
      <c r="J140" s="27">
        <f>J139*(1+C137)^(-DCF!J10)</f>
        <v>153.19065299063183</v>
      </c>
      <c r="K140" s="27">
        <f>K139*(1+C137)^(-DCF!K10)</f>
        <v>98.14361005836668</v>
      </c>
      <c r="L140" s="27">
        <f>L139*(1+C137)^(-DCF!L10)</f>
        <v>89.86646321451326</v>
      </c>
      <c r="M140" s="27">
        <f>M139*(1+C137)^(-DCF!M10)</f>
        <v>82.289920925833</v>
      </c>
      <c r="N140" s="27">
        <f>N139*(1+C137)^(-DCF!N10)</f>
        <v>75.34347021538845</v>
      </c>
      <c r="O140" s="27">
        <f>O139*(1+C137)^(-DCF!O10)</f>
        <v>68.98545521947791</v>
      </c>
      <c r="P140" s="27">
        <f>P139*(1+C137)^(-DCF!P10)</f>
        <v>63.17501514067792</v>
      </c>
      <c r="Q140" s="27">
        <f>Q139*(1+C137)^(-DCF!Q10)</f>
        <v>57.855638867016154</v>
      </c>
      <c r="R140" s="27">
        <f>R139*(1+C137)^(-DCF!R10)</f>
        <v>52.97795225850344</v>
      </c>
    </row>
    <row r="141" spans="1:18">
      <c r="A141" s="7" t="s">
        <v>670</v>
      </c>
      <c r="B141" s="9" t="s">
        <v>132</v>
      </c>
      <c r="C141" s="27">
        <f>C108*(1-GTermCfg/C138)/(C137-GTermCfg)*IF(MidYear=1,(1+C137)^0.5,1)</f>
        <v>2738.0201129219145</v>
      </c>
    </row>
    <row r="142" spans="1:18">
      <c r="A142" s="7" t="s">
        <v>574</v>
      </c>
      <c r="B142" s="9" t="s">
        <v>132</v>
      </c>
      <c r="C142" s="27">
        <f>C141*(1+C137)^(-DCF!R9)</f>
        <v>586.159866828187</v>
      </c>
    </row>
    <row r="143" spans="1:18">
      <c r="A143" s="7" t="s">
        <v>671</v>
      </c>
      <c r="B143" s="9" t="s">
        <v>132</v>
      </c>
      <c r="C143" s="40">
        <f>SUM(D140:R140)+C142</f>
        <v>2195.313302762372</v>
      </c>
    </row>
    <row r="144" spans="1:18">
      <c r="A144" s="7" t="s">
        <v>605</v>
      </c>
      <c r="B144" s="9" t="s">
        <v>132</v>
      </c>
      <c r="C144" s="27">
        <f>C143*(1+C137)^((ValDate-DiscDate)/DaysYr)</f>
        <v>2254.8674948001576</v>
      </c>
    </row>
    <row r="145" spans="1:18">
      <c r="A145" s="7" t="s">
        <v>672</v>
      </c>
      <c r="B145" s="9" t="s">
        <v>132</v>
      </c>
      <c r="C145" s="27">
        <f>C144+BridgeAdj</f>
        <v>238361.19532480012</v>
      </c>
    </row>
    <row r="146" spans="1:18">
      <c r="A146" s="3" t="s">
        <v>673</v>
      </c>
      <c r="B146" s="9" t="s">
        <v>129</v>
      </c>
      <c r="C146" s="56">
        <f>C145*MnToWon/Shares</f>
        <v>8716.493142480786</v>
      </c>
    </row>
    <row r="147" spans="1:18">
      <c r="A147" s="7" t="s">
        <v>599</v>
      </c>
      <c r="C147" s="29">
        <f>C142/C143</f>
        <v>0.26700510860596505</v>
      </c>
    </row>
    <row r="150" spans="1:18">
      <c r="A150" s="11" t="s">
        <v>675</v>
      </c>
    </row>
    <row r="151" spans="1:18">
      <c r="A151" s="7" t="s">
        <v>458</v>
      </c>
      <c r="C151" s="35">
        <v>0</v>
      </c>
      <c r="D151" s="35">
        <f>C151+1</f>
        <v>1.0</v>
      </c>
      <c r="E151" s="35">
        <f>D151+1</f>
        <v>2.0</v>
      </c>
      <c r="F151" s="35">
        <f>E151+1</f>
        <v>3.0</v>
      </c>
      <c r="G151" s="35">
        <f>F151+1</f>
        <v>4.0</v>
      </c>
      <c r="H151" s="35">
        <f>G151+1</f>
        <v>5.0</v>
      </c>
      <c r="I151" s="35">
        <f>H151+1</f>
        <v>6.0</v>
      </c>
      <c r="J151" s="35">
        <f>I151+1</f>
        <v>7.0</v>
      </c>
      <c r="K151" s="35">
        <f>J151+1</f>
        <v>8.0</v>
      </c>
      <c r="L151" s="35">
        <f>K151+1</f>
        <v>9.0</v>
      </c>
      <c r="M151" s="35">
        <f>L151+1</f>
        <v>10.0</v>
      </c>
      <c r="N151" s="35">
        <f>M151+1</f>
        <v>11.0</v>
      </c>
      <c r="O151" s="35">
        <f>N151+1</f>
        <v>12.0</v>
      </c>
      <c r="P151" s="35">
        <f>O151+1</f>
        <v>13.0</v>
      </c>
      <c r="Q151" s="35">
        <f>P151+1</f>
        <v>14.0</v>
      </c>
      <c r="R151" s="35">
        <f>Q151+1</f>
        <v>15.0</v>
      </c>
    </row>
    <row r="152" spans="1:18">
      <c r="A152" s="7" t="s">
        <v>49</v>
      </c>
      <c r="D152" s="36">
        <f>YEAR(CfStart)+D151-1</f>
        <v>2026.0</v>
      </c>
      <c r="E152" s="36">
        <f>YEAR(CfStart)+E151-1</f>
        <v>2027.0</v>
      </c>
      <c r="F152" s="36">
        <f>YEAR(CfStart)+F151-1</f>
        <v>2028.0</v>
      </c>
      <c r="G152" s="36">
        <f>YEAR(CfStart)+G151-1</f>
        <v>2029.0</v>
      </c>
      <c r="H152" s="36">
        <f>YEAR(CfStart)+H151-1</f>
        <v>2030.0</v>
      </c>
      <c r="I152" s="36">
        <f>YEAR(CfStart)+I151-1</f>
        <v>2031.0</v>
      </c>
      <c r="J152" s="36">
        <f>YEAR(CfStart)+J151-1</f>
        <v>2032.0</v>
      </c>
      <c r="K152" s="36">
        <f>YEAR(CfStart)+K151-1</f>
        <v>2033.0</v>
      </c>
      <c r="L152" s="36">
        <f>YEAR(CfStart)+L151-1</f>
        <v>2034.0</v>
      </c>
      <c r="M152" s="36">
        <f>YEAR(CfStart)+M151-1</f>
        <v>2035.0</v>
      </c>
      <c r="N152" s="36">
        <f>YEAR(CfStart)+N151-1</f>
        <v>2036.0</v>
      </c>
      <c r="O152" s="36">
        <f>YEAR(CfStart)+O151-1</f>
        <v>2037.0</v>
      </c>
      <c r="P152" s="36">
        <f>YEAR(CfStart)+P151-1</f>
        <v>2038.0</v>
      </c>
      <c r="Q152" s="36">
        <f>YEAR(CfStart)+Q151-1</f>
        <v>2039.0</v>
      </c>
      <c r="R152" s="36">
        <f>YEAR(CfStart)+R151-1</f>
        <v>2040.0</v>
      </c>
    </row>
    <row r="153" spans="1:18">
      <c r="A153" s="7" t="s">
        <v>228</v>
      </c>
      <c r="D153" s="7" t="str">
        <f>IF(D157=1,"명시","체감")</f>
        <v>명시</v>
      </c>
      <c r="E153" s="7" t="str">
        <f>IF(E157=1,"명시","체감")</f>
        <v>명시</v>
      </c>
      <c r="F153" s="7" t="str">
        <f>IF(F157=1,"명시","체감")</f>
        <v>명시</v>
      </c>
      <c r="G153" s="7" t="str">
        <f>IF(G157=1,"명시","체감")</f>
        <v>명시</v>
      </c>
      <c r="H153" s="7" t="str">
        <f>IF(H157=1,"명시","체감")</f>
        <v>명시</v>
      </c>
      <c r="I153" s="7" t="str">
        <f>IF(I157=1,"명시","체감")</f>
        <v>명시</v>
      </c>
      <c r="J153" s="7" t="str">
        <f>IF(J157=1,"명시","체감")</f>
        <v>명시</v>
      </c>
      <c r="K153" s="7" t="str">
        <f>IF(K157=1,"명시","체감")</f>
        <v>체감</v>
      </c>
      <c r="L153" s="7" t="str">
        <f>IF(L157=1,"명시","체감")</f>
        <v>체감</v>
      </c>
      <c r="M153" s="7" t="str">
        <f>IF(M157=1,"명시","체감")</f>
        <v>체감</v>
      </c>
      <c r="N153" s="7" t="str">
        <f>IF(N157=1,"명시","체감")</f>
        <v>체감</v>
      </c>
      <c r="O153" s="7" t="str">
        <f>IF(O157=1,"명시","체감")</f>
        <v>체감</v>
      </c>
      <c r="P153" s="7" t="str">
        <f>IF(P157=1,"명시","체감")</f>
        <v>체감</v>
      </c>
      <c r="Q153" s="7" t="str">
        <f>IF(Q157=1,"명시","체감")</f>
        <v>체감</v>
      </c>
      <c r="R153" s="7" t="str">
        <f>IF(R157=1,"명시","체감")</f>
        <v>체감</v>
      </c>
    </row>
    <row r="154" spans="1:18">
      <c r="A154" s="7" t="s">
        <v>459</v>
      </c>
      <c r="D154" s="37">
        <f>MAX(DATE(D152,1,1),CfStart)</f>
        <v>46204.0</v>
      </c>
      <c r="E154" s="37">
        <f>MAX(DATE(E152,1,1),CfStart)</f>
        <v>46388.0</v>
      </c>
      <c r="F154" s="37">
        <f>MAX(DATE(F152,1,1),CfStart)</f>
        <v>46753.0</v>
      </c>
      <c r="G154" s="37">
        <f>MAX(DATE(G152,1,1),CfStart)</f>
        <v>47119.0</v>
      </c>
      <c r="H154" s="37">
        <f>MAX(DATE(H152,1,1),CfStart)</f>
        <v>47484.0</v>
      </c>
      <c r="I154" s="37">
        <f>MAX(DATE(I152,1,1),CfStart)</f>
        <v>47849.0</v>
      </c>
      <c r="J154" s="37">
        <f>MAX(DATE(J152,1,1),CfStart)</f>
        <v>48214.0</v>
      </c>
      <c r="K154" s="37">
        <f>MAX(DATE(K152,1,1),CfStart)</f>
        <v>48580.0</v>
      </c>
      <c r="L154" s="37">
        <f>MAX(DATE(L152,1,1),CfStart)</f>
        <v>48945.0</v>
      </c>
      <c r="M154" s="37">
        <f>MAX(DATE(M152,1,1),CfStart)</f>
        <v>49310.0</v>
      </c>
      <c r="N154" s="37">
        <f>MAX(DATE(N152,1,1),CfStart)</f>
        <v>49675.0</v>
      </c>
      <c r="O154" s="37">
        <f>MAX(DATE(O152,1,1),CfStart)</f>
        <v>50041.0</v>
      </c>
      <c r="P154" s="37">
        <f>MAX(DATE(P152,1,1),CfStart)</f>
        <v>50406.0</v>
      </c>
      <c r="Q154" s="37">
        <f>MAX(DATE(Q152,1,1),CfStart)</f>
        <v>50771.0</v>
      </c>
      <c r="R154" s="37">
        <f>MAX(DATE(R152,1,1),CfStart)</f>
        <v>51136.0</v>
      </c>
    </row>
    <row r="155" spans="1:18">
      <c r="A155" s="7" t="s">
        <v>460</v>
      </c>
      <c r="D155" s="38">
        <f>DATE(D152,12,31)</f>
        <v>46387.0</v>
      </c>
      <c r="E155" s="38">
        <f>DATE(E152,12,31)</f>
        <v>46752.0</v>
      </c>
      <c r="F155" s="38">
        <f>DATE(F152,12,31)</f>
        <v>47118.0</v>
      </c>
      <c r="G155" s="38">
        <f>DATE(G152,12,31)</f>
        <v>47483.0</v>
      </c>
      <c r="H155" s="38">
        <f>DATE(H152,12,31)</f>
        <v>47848.0</v>
      </c>
      <c r="I155" s="38">
        <f>DATE(I152,12,31)</f>
        <v>48213.0</v>
      </c>
      <c r="J155" s="38">
        <f>DATE(J152,12,31)</f>
        <v>48579.0</v>
      </c>
      <c r="K155" s="38">
        <f>DATE(K152,12,31)</f>
        <v>48944.0</v>
      </c>
      <c r="L155" s="38">
        <f>DATE(L152,12,31)</f>
        <v>49309.0</v>
      </c>
      <c r="M155" s="38">
        <f>DATE(M152,12,31)</f>
        <v>49674.0</v>
      </c>
      <c r="N155" s="38">
        <f>DATE(N152,12,31)</f>
        <v>50040.0</v>
      </c>
      <c r="O155" s="38">
        <f>DATE(O152,12,31)</f>
        <v>50405.0</v>
      </c>
      <c r="P155" s="38">
        <f>DATE(P152,12,31)</f>
        <v>50770.0</v>
      </c>
      <c r="Q155" s="38">
        <f>DATE(Q152,12,31)</f>
        <v>51135.0</v>
      </c>
      <c r="R155" s="38">
        <f>DATE(R152,12,31)</f>
        <v>51501.0</v>
      </c>
    </row>
    <row r="156" spans="1:18">
      <c r="A156" s="7" t="s">
        <v>461</v>
      </c>
      <c r="D156" s="39">
        <f>(D155-D154+1)/DaysYr</f>
        <v>0.5041095890410959</v>
      </c>
      <c r="E156" s="39">
        <f>(E155-E154+1)/DaysYr</f>
        <v>1.0</v>
      </c>
      <c r="F156" s="39">
        <f>(F155-F154+1)/DaysYr</f>
        <v>1.0027397260273974</v>
      </c>
      <c r="G156" s="39">
        <f>(G155-G154+1)/DaysYr</f>
        <v>1.0</v>
      </c>
      <c r="H156" s="39">
        <f>(H155-H154+1)/DaysYr</f>
        <v>1.0</v>
      </c>
      <c r="I156" s="39">
        <f>(I155-I154+1)/DaysYr</f>
        <v>1.0</v>
      </c>
      <c r="J156" s="39">
        <f>(J155-J154+1)/DaysYr</f>
        <v>1.0027397260273974</v>
      </c>
      <c r="K156" s="39">
        <f>(K155-K154+1)/DaysYr</f>
        <v>1.0</v>
      </c>
      <c r="L156" s="39">
        <f>(L155-L154+1)/DaysYr</f>
        <v>1.0</v>
      </c>
      <c r="M156" s="39">
        <f>(M155-M154+1)/DaysYr</f>
        <v>1.0</v>
      </c>
      <c r="N156" s="39">
        <f>(N155-N154+1)/DaysYr</f>
        <v>1.0027397260273974</v>
      </c>
      <c r="O156" s="39">
        <f>(O155-O154+1)/DaysYr</f>
        <v>1.0</v>
      </c>
      <c r="P156" s="39">
        <f>(P155-P154+1)/DaysYr</f>
        <v>1.0</v>
      </c>
      <c r="Q156" s="39">
        <f>(Q155-Q154+1)/DaysYr</f>
        <v>1.0</v>
      </c>
      <c r="R156" s="39">
        <f>(R155-R154+1)/DaysYr</f>
        <v>1.0027397260273974</v>
      </c>
    </row>
    <row r="157" spans="1:18">
      <c r="A157" s="7" t="s">
        <v>462</v>
      </c>
      <c r="D157" s="34">
        <f>IF(D152&lt;=ExplicitEnd,1,0)</f>
        <v>1.0</v>
      </c>
      <c r="E157" s="34">
        <f>IF(E152&lt;=ExplicitEnd,1,0)</f>
        <v>1.0</v>
      </c>
      <c r="F157" s="34">
        <f>IF(F152&lt;=ExplicitEnd,1,0)</f>
        <v>1.0</v>
      </c>
      <c r="G157" s="34">
        <f>IF(G152&lt;=ExplicitEnd,1,0)</f>
        <v>1.0</v>
      </c>
      <c r="H157" s="34">
        <f>IF(H152&lt;=ExplicitEnd,1,0)</f>
        <v>1.0</v>
      </c>
      <c r="I157" s="34">
        <f>IF(I152&lt;=ExplicitEnd,1,0)</f>
        <v>1.0</v>
      </c>
      <c r="J157" s="34">
        <f>IF(J152&lt;=ExplicitEnd,1,0)</f>
        <v>1.0</v>
      </c>
      <c r="K157" s="34">
        <f>IF(K152&lt;=ExplicitEnd,1,0)</f>
        <v>0.0</v>
      </c>
      <c r="L157" s="34">
        <f>IF(L152&lt;=ExplicitEnd,1,0)</f>
        <v>0.0</v>
      </c>
      <c r="M157" s="34">
        <f>IF(M152&lt;=ExplicitEnd,1,0)</f>
        <v>0.0</v>
      </c>
      <c r="N157" s="34">
        <f>IF(N152&lt;=ExplicitEnd,1,0)</f>
        <v>0.0</v>
      </c>
      <c r="O157" s="34">
        <f>IF(O152&lt;=ExplicitEnd,1,0)</f>
        <v>0.0</v>
      </c>
      <c r="P157" s="34">
        <f>IF(P152&lt;=ExplicitEnd,1,0)</f>
        <v>0.0</v>
      </c>
      <c r="Q157" s="34">
        <f>IF(Q152&lt;=ExplicitEnd,1,0)</f>
        <v>0.0</v>
      </c>
      <c r="R157" s="34">
        <f>IF(R152&lt;=ExplicitEnd,1,0)</f>
        <v>0.0</v>
      </c>
    </row>
    <row r="158" spans="1:18">
      <c r="A158" s="7" t="s">
        <v>463</v>
      </c>
      <c r="B158" s="9" t="s">
        <v>16</v>
      </c>
      <c r="D158" s="30">
        <f>IF(D157=1,Forecast!$E$41+(GTermCfg-Forecast!$E$41)*MIN(D152-YEAR(CfStart),FadeTo-YEAR(CfStart))/(FadeTo-YEAR(CfStart)),Forecast!$E$43-(D152-ExplicitEnd)*(Forecast!$E$43-GTermCfg)/FadeYears)</f>
        <v>0.034420191600999406</v>
      </c>
      <c r="E158" s="30">
        <f>IF(E157=1,Forecast!$E$41+(GTermCfg-Forecast!$E$41)*MIN(E152-YEAR(CfStart),FadeTo-YEAR(CfStart))/(FadeTo-YEAR(CfStart)),Forecast!$E$43-(E152-ExplicitEnd)*(Forecast!$E$43-GTermCfg)/FadeYears)</f>
        <v>0.030815143700749555</v>
      </c>
      <c r="F158" s="30">
        <f>IF(F157=1,Forecast!$E$41+(GTermCfg-Forecast!$E$41)*MIN(F152-YEAR(CfStart),FadeTo-YEAR(CfStart))/(FadeTo-YEAR(CfStart)),Forecast!$E$43-(F152-ExplicitEnd)*(Forecast!$E$43-GTermCfg)/FadeYears)</f>
        <v>0.027210095800499705</v>
      </c>
      <c r="G158" s="30">
        <f>IF(G157=1,Forecast!$E$41+(GTermCfg-Forecast!$E$41)*MIN(G152-YEAR(CfStart),FadeTo-YEAR(CfStart))/(FadeTo-YEAR(CfStart)),Forecast!$E$43-(G152-ExplicitEnd)*(Forecast!$E$43-GTermCfg)/FadeYears)</f>
        <v>0.02360504790024985</v>
      </c>
      <c r="H158" s="30">
        <f>IF(H157=1,Forecast!$E$41+(GTermCfg-Forecast!$E$41)*MIN(H152-YEAR(CfStart),FadeTo-YEAR(CfStart))/(FadeTo-YEAR(CfStart)),Forecast!$E$43-(H152-ExplicitEnd)*(Forecast!$E$43-GTermCfg)/FadeYears)</f>
        <v>0.02</v>
      </c>
      <c r="I158" s="30">
        <f>IF(I157=1,Forecast!$E$41+(GTermCfg-Forecast!$E$41)*MIN(I152-YEAR(CfStart),FadeTo-YEAR(CfStart))/(FadeTo-YEAR(CfStart)),Forecast!$E$43-(I152-ExplicitEnd)*(Forecast!$E$43-GTermCfg)/FadeYears)</f>
        <v>0.02</v>
      </c>
      <c r="J158" s="30">
        <f>IF(J157=1,Forecast!$E$41+(GTermCfg-Forecast!$E$41)*MIN(J152-YEAR(CfStart),FadeTo-YEAR(CfStart))/(FadeTo-YEAR(CfStart)),Forecast!$E$43-(J152-ExplicitEnd)*(Forecast!$E$43-GTermCfg)/FadeYears)</f>
        <v>0.02</v>
      </c>
      <c r="K158" s="30">
        <f>IF(K157=1,Forecast!$E$41+(GTermCfg-Forecast!$E$41)*MIN(K152-YEAR(CfStart),FadeTo-YEAR(CfStart))/(FadeTo-YEAR(CfStart)),Forecast!$E$43-(K152-ExplicitEnd)*(Forecast!$E$43-GTermCfg)/FadeYears)</f>
        <v>0.02</v>
      </c>
      <c r="L158" s="30">
        <f>IF(L157=1,Forecast!$E$41+(GTermCfg-Forecast!$E$41)*MIN(L152-YEAR(CfStart),FadeTo-YEAR(CfStart))/(FadeTo-YEAR(CfStart)),Forecast!$E$43-(L152-ExplicitEnd)*(Forecast!$E$43-GTermCfg)/FadeYears)</f>
        <v>0.02</v>
      </c>
      <c r="M158" s="30">
        <f>IF(M157=1,Forecast!$E$41+(GTermCfg-Forecast!$E$41)*MIN(M152-YEAR(CfStart),FadeTo-YEAR(CfStart))/(FadeTo-YEAR(CfStart)),Forecast!$E$43-(M152-ExplicitEnd)*(Forecast!$E$43-GTermCfg)/FadeYears)</f>
        <v>0.02</v>
      </c>
      <c r="N158" s="30">
        <f>IF(N157=1,Forecast!$E$41+(GTermCfg-Forecast!$E$41)*MIN(N152-YEAR(CfStart),FadeTo-YEAR(CfStart))/(FadeTo-YEAR(CfStart)),Forecast!$E$43-(N152-ExplicitEnd)*(Forecast!$E$43-GTermCfg)/FadeYears)</f>
        <v>0.02</v>
      </c>
      <c r="O158" s="30">
        <f>IF(O157=1,Forecast!$E$41+(GTermCfg-Forecast!$E$41)*MIN(O152-YEAR(CfStart),FadeTo-YEAR(CfStart))/(FadeTo-YEAR(CfStart)),Forecast!$E$43-(O152-ExplicitEnd)*(Forecast!$E$43-GTermCfg)/FadeYears)</f>
        <v>0.02</v>
      </c>
      <c r="P158" s="30">
        <f>IF(P157=1,Forecast!$E$41+(GTermCfg-Forecast!$E$41)*MIN(P152-YEAR(CfStart),FadeTo-YEAR(CfStart))/(FadeTo-YEAR(CfStart)),Forecast!$E$43-(P152-ExplicitEnd)*(Forecast!$E$43-GTermCfg)/FadeYears)</f>
        <v>0.02</v>
      </c>
      <c r="Q158" s="30">
        <f>IF(Q157=1,Forecast!$E$41+(GTermCfg-Forecast!$E$41)*MIN(Q152-YEAR(CfStart),FadeTo-YEAR(CfStart))/(FadeTo-YEAR(CfStart)),Forecast!$E$43-(Q152-ExplicitEnd)*(Forecast!$E$43-GTermCfg)/FadeYears)</f>
        <v>0.02</v>
      </c>
      <c r="R158" s="30">
        <f>IF(R157=1,Forecast!$E$41+(GTermCfg-Forecast!$E$41)*MIN(R152-YEAR(CfStart),FadeTo-YEAR(CfStart))/(FadeTo-YEAR(CfStart)),Forecast!$E$43-(R152-ExplicitEnd)*(Forecast!$E$43-GTermCfg)/FadeYears)</f>
        <v>0.02</v>
      </c>
    </row>
    <row r="159" spans="1:18">
      <c r="A159" s="7" t="s">
        <v>464</v>
      </c>
      <c r="B159" s="9" t="s">
        <v>132</v>
      </c>
      <c r="D159" s="27">
        <f>IF(D151=1,RevFY_Last*(1+D158),C159*(1+D158))</f>
        <v>3813.8848698553</v>
      </c>
      <c r="E159" s="27">
        <f>IF(E151=1,RevFY_Last*(1+E158),D159*(1+E158))</f>
        <v>3931.410280178006</v>
      </c>
      <c r="F159" s="27">
        <f>IF(F151=1,RevFY_Last*(1+F158),E159*(1+F158))</f>
        <v>4038.3843305327186</v>
      </c>
      <c r="G159" s="27">
        <f>IF(G151=1,RevFY_Last*(1+G158),F159*(1+G158))</f>
        <v>4133.710586094562</v>
      </c>
      <c r="H159" s="27">
        <f>IF(H151=1,RevFY_Last*(1+H158),G159*(1+H158))</f>
        <v>4216.384797816453</v>
      </c>
      <c r="I159" s="27">
        <f>IF(I151=1,RevFY_Last*(1+I158),H159*(1+I158))</f>
        <v>4300.712493772782</v>
      </c>
      <c r="J159" s="27">
        <f>IF(J151=1,RevFY_Last*(1+J158),I159*(1+J158))</f>
        <v>4386.726743648238</v>
      </c>
      <c r="K159" s="27">
        <f>IF(K151=1,RevFY_Last*(1+K158),J159*(1+K158))</f>
        <v>4474.461278521203</v>
      </c>
      <c r="L159" s="27">
        <f>IF(L151=1,RevFY_Last*(1+L158),K159*(1+L158))</f>
        <v>4563.950504091627</v>
      </c>
      <c r="M159" s="27">
        <f>IF(M151=1,RevFY_Last*(1+M158),L159*(1+M158))</f>
        <v>4655.22951417346</v>
      </c>
      <c r="N159" s="27">
        <f>IF(N151=1,RevFY_Last*(1+N158),M159*(1+N158))</f>
        <v>4748.33410445693</v>
      </c>
      <c r="O159" s="27">
        <f>IF(O151=1,RevFY_Last*(1+O158),N159*(1+O158))</f>
        <v>4843.300786546069</v>
      </c>
      <c r="P159" s="27">
        <f>IF(P151=1,RevFY_Last*(1+P158),O159*(1+P158))</f>
        <v>4940.16680227699</v>
      </c>
      <c r="Q159" s="27">
        <f>IF(Q151=1,RevFY_Last*(1+Q158),P159*(1+Q158))</f>
        <v>5038.97013832253</v>
      </c>
      <c r="R159" s="27">
        <f>IF(R151=1,RevFY_Last*(1+R158),Q159*(1+R158))</f>
        <v>5139.749541088981</v>
      </c>
    </row>
    <row r="160" spans="1:18">
      <c r="A160" s="7" t="s">
        <v>465</v>
      </c>
      <c r="B160" s="9" t="s">
        <v>132</v>
      </c>
      <c r="D160" s="27">
        <f>IF(D151=1,D159-H1Rev,D159)</f>
        <v>2114.4323128553</v>
      </c>
      <c r="E160" s="27">
        <f>IF(E151=1,E159-H1Rev,E159)</f>
        <v>3931.410280178006</v>
      </c>
      <c r="F160" s="27">
        <f>IF(F151=1,F159-H1Rev,F159)</f>
        <v>4038.3843305327186</v>
      </c>
      <c r="G160" s="27">
        <f>IF(G151=1,G159-H1Rev,G159)</f>
        <v>4133.710586094562</v>
      </c>
      <c r="H160" s="27">
        <f>IF(H151=1,H159-H1Rev,H159)</f>
        <v>4216.384797816453</v>
      </c>
      <c r="I160" s="27">
        <f>IF(I151=1,I159-H1Rev,I159)</f>
        <v>4300.712493772782</v>
      </c>
      <c r="J160" s="27">
        <f>IF(J151=1,J159-H1Rev,J159)</f>
        <v>4386.726743648238</v>
      </c>
      <c r="K160" s="27">
        <f>IF(K151=1,K159-H1Rev,K159)</f>
        <v>4474.461278521203</v>
      </c>
      <c r="L160" s="27">
        <f>IF(L151=1,L159-H1Rev,L159)</f>
        <v>4563.950504091627</v>
      </c>
      <c r="M160" s="27">
        <f>IF(M151=1,M159-H1Rev,M159)</f>
        <v>4655.22951417346</v>
      </c>
      <c r="N160" s="27">
        <f>IF(N151=1,N159-H1Rev,N159)</f>
        <v>4748.33410445693</v>
      </c>
      <c r="O160" s="27">
        <f>IF(O151=1,O159-H1Rev,O159)</f>
        <v>4843.300786546069</v>
      </c>
      <c r="P160" s="27">
        <f>IF(P151=1,P159-H1Rev,P159)</f>
        <v>4940.16680227699</v>
      </c>
      <c r="Q160" s="27">
        <f>IF(Q151=1,Q159-H1Rev,Q159)</f>
        <v>5038.97013832253</v>
      </c>
      <c r="R160" s="27">
        <f>IF(R151=1,R159-H1Rev,R159)</f>
        <v>5139.749541088981</v>
      </c>
    </row>
    <row r="161" spans="1:18">
      <c r="A161" s="7" t="s">
        <v>466</v>
      </c>
      <c r="B161" s="9" t="s">
        <v>132</v>
      </c>
      <c r="D161" s="27">
        <f>D160*(Forecast!$E$42+MarginConvAmt*MIN((D152-YEAR(CfStart))/(ExplicitEnd-YEAR(CfStart)),1))</f>
        <v>73.05268569451576</v>
      </c>
      <c r="E161" s="27">
        <f>E160*(Forecast!$E$42+MarginConvAmt*MIN((E152-YEAR(CfStart))/(ExplicitEnd-YEAR(CfStart)),1))</f>
        <v>171.53935440019507</v>
      </c>
      <c r="F161" s="27">
        <f>F160*(Forecast!$E$42+MarginConvAmt*MIN((F152-YEAR(CfStart))/(ExplicitEnd-YEAR(CfStart)),1))</f>
        <v>212.8895504974504</v>
      </c>
      <c r="G161" s="27">
        <f>G160*(Forecast!$E$42+MarginConvAmt*MIN((G152-YEAR(CfStart))/(ExplicitEnd-YEAR(CfStart)),1))</f>
        <v>255.46330674934916</v>
      </c>
      <c r="H161" s="27">
        <f>H160*(Forecast!$E$42+MarginConvAmt*MIN((H152-YEAR(CfStart))/(ExplicitEnd-YEAR(CfStart)),1))</f>
        <v>298.8720308635788</v>
      </c>
      <c r="I161" s="27">
        <f>I160*(Forecast!$E$42+MarginConvAmt*MIN((I152-YEAR(CfStart))/(ExplicitEnd-YEAR(CfStart)),1))</f>
        <v>343.9149186196778</v>
      </c>
      <c r="J161" s="27">
        <f>J160*(Forecast!$E$42+MarginConvAmt*MIN((J152-YEAR(CfStart))/(ExplicitEnd-YEAR(CfStart)),1))</f>
        <v>390.6399730736755</v>
      </c>
      <c r="K161" s="27">
        <f>K160*(Forecast!$E$42+MarginConvAmt*MIN((K152-YEAR(CfStart))/(ExplicitEnd-YEAR(CfStart)),1))</f>
        <v>398.45277253514905</v>
      </c>
      <c r="L161" s="27">
        <f>L160*(Forecast!$E$42+MarginConvAmt*MIN((L152-YEAR(CfStart))/(ExplicitEnd-YEAR(CfStart)),1))</f>
        <v>406.4218279858521</v>
      </c>
      <c r="M161" s="27">
        <f>M160*(Forecast!$E$42+MarginConvAmt*MIN((M152-YEAR(CfStart))/(ExplicitEnd-YEAR(CfStart)),1))</f>
        <v>414.5502645455691</v>
      </c>
      <c r="N161" s="27">
        <f>N160*(Forecast!$E$42+MarginConvAmt*MIN((N152-YEAR(CfStart))/(ExplicitEnd-YEAR(CfStart)),1))</f>
        <v>422.84126983648054</v>
      </c>
      <c r="O161" s="27">
        <f>O160*(Forecast!$E$42+MarginConvAmt*MIN((O152-YEAR(CfStart))/(ExplicitEnd-YEAR(CfStart)),1))</f>
        <v>431.2980952332102</v>
      </c>
      <c r="P161" s="27">
        <f>P160*(Forecast!$E$42+MarginConvAmt*MIN((P152-YEAR(CfStart))/(ExplicitEnd-YEAR(CfStart)),1))</f>
        <v>439.9240571378744</v>
      </c>
      <c r="Q161" s="27">
        <f>Q160*(Forecast!$E$42+MarginConvAmt*MIN((Q152-YEAR(CfStart))/(ExplicitEnd-YEAR(CfStart)),1))</f>
        <v>448.7225382806319</v>
      </c>
      <c r="R161" s="27">
        <f>R160*(Forecast!$E$42+MarginConvAmt*MIN((R152-YEAR(CfStart))/(ExplicitEnd-YEAR(CfStart)),1))</f>
        <v>457.69698904624454</v>
      </c>
    </row>
    <row r="162" spans="1:18">
      <c r="A162" s="7" t="s">
        <v>467</v>
      </c>
      <c r="B162" s="9" t="s">
        <v>132</v>
      </c>
      <c r="D162" s="27">
        <f>IF(D151=1,H1Op+D161,D161)</f>
        <v>-186.22014730548423</v>
      </c>
      <c r="E162" s="27">
        <f>IF(E151=1,H1Op+E161,E161)</f>
        <v>171.53935440019507</v>
      </c>
      <c r="F162" s="27">
        <f>IF(F151=1,H1Op+F161,F161)</f>
        <v>212.8895504974504</v>
      </c>
      <c r="G162" s="27">
        <f>IF(G151=1,H1Op+G161,G161)</f>
        <v>255.46330674934916</v>
      </c>
      <c r="H162" s="27">
        <f>IF(H151=1,H1Op+H161,H161)</f>
        <v>298.8720308635788</v>
      </c>
      <c r="I162" s="27">
        <f>IF(I151=1,H1Op+I161,I161)</f>
        <v>343.9149186196778</v>
      </c>
      <c r="J162" s="27">
        <f>IF(J151=1,H1Op+J161,J161)</f>
        <v>390.6399730736755</v>
      </c>
      <c r="K162" s="27">
        <f>IF(K151=1,H1Op+K161,K161)</f>
        <v>398.45277253514905</v>
      </c>
      <c r="L162" s="27">
        <f>IF(L151=1,H1Op+L161,L161)</f>
        <v>406.4218279858521</v>
      </c>
      <c r="M162" s="27">
        <f>IF(M151=1,H1Op+M161,M161)</f>
        <v>414.5502645455691</v>
      </c>
      <c r="N162" s="27">
        <f>IF(N151=1,H1Op+N161,N161)</f>
        <v>422.84126983648054</v>
      </c>
      <c r="O162" s="27">
        <f>IF(O151=1,H1Op+O161,O161)</f>
        <v>431.2980952332102</v>
      </c>
      <c r="P162" s="27">
        <f>IF(P151=1,H1Op+P161,P161)</f>
        <v>439.9240571378744</v>
      </c>
      <c r="Q162" s="27">
        <f>IF(Q151=1,H1Op+Q161,Q161)</f>
        <v>448.7225382806319</v>
      </c>
      <c r="R162" s="27">
        <f>IF(R151=1,H1Op+R161,R161)</f>
        <v>457.69698904624454</v>
      </c>
    </row>
    <row r="163" spans="1:18">
      <c r="A163" s="7" t="s">
        <v>468</v>
      </c>
      <c r="B163" s="9" t="s">
        <v>132</v>
      </c>
      <c r="D163" s="27">
        <f>IF(D157=1,D160*DnaRatio,0)</f>
        <v>51.09681645101304</v>
      </c>
      <c r="E163" s="27">
        <f>IF(E157=1,E160*DnaRatio,0)</f>
        <v>95.00542923911918</v>
      </c>
      <c r="F163" s="27">
        <f>IF(F157=1,F160*DnaRatio,0)</f>
        <v>97.5905360702832</v>
      </c>
      <c r="G163" s="27">
        <f>IF(G157=1,G160*DnaRatio,0)</f>
        <v>99.8941653488333</v>
      </c>
      <c r="H163" s="27">
        <f>IF(H157=1,H160*DnaRatio,0)</f>
        <v>101.89204865580996</v>
      </c>
      <c r="I163" s="27">
        <f>IF(I157=1,I160*DnaRatio,0)</f>
        <v>103.92988962892616</v>
      </c>
      <c r="J163" s="27">
        <f>IF(J157=1,J160*DnaRatio,0)</f>
        <v>106.00848742150468</v>
      </c>
      <c r="K163" s="27">
        <f>IF(K157=1,K160*DnaRatio,0)</f>
        <v>0.0</v>
      </c>
      <c r="L163" s="27">
        <f>IF(L157=1,L160*DnaRatio,0)</f>
        <v>0.0</v>
      </c>
      <c r="M163" s="27">
        <f>IF(M157=1,M160*DnaRatio,0)</f>
        <v>0.0</v>
      </c>
      <c r="N163" s="27">
        <f>IF(N157=1,N160*DnaRatio,0)</f>
        <v>0.0</v>
      </c>
      <c r="O163" s="27">
        <f>IF(O157=1,O160*DnaRatio,0)</f>
        <v>0.0</v>
      </c>
      <c r="P163" s="27">
        <f>IF(P157=1,P160*DnaRatio,0)</f>
        <v>0.0</v>
      </c>
      <c r="Q163" s="27">
        <f>IF(Q157=1,Q160*DnaRatio,0)</f>
        <v>0.0</v>
      </c>
      <c r="R163" s="27">
        <f>IF(R157=1,R160*DnaRatio,0)</f>
        <v>0.0</v>
      </c>
    </row>
    <row r="164" spans="1:18">
      <c r="A164" s="7" t="s">
        <v>469</v>
      </c>
      <c r="B164" s="9" t="s">
        <v>132</v>
      </c>
      <c r="D164" s="27">
        <f>IF(D157=1,D160*CapexRatio,0)</f>
        <v>27.73890976339829</v>
      </c>
      <c r="E164" s="27">
        <f>IF(E157=1,E160*CapexRatio,0)</f>
        <v>51.57556207485799</v>
      </c>
      <c r="F164" s="27">
        <f>IF(F157=1,F160*CapexRatio,0)</f>
        <v>52.978938059879496</v>
      </c>
      <c r="G164" s="27">
        <f>IF(G157=1,G160*CapexRatio,0)</f>
        <v>54.22950843048733</v>
      </c>
      <c r="H164" s="27">
        <f>IF(H157=1,H160*CapexRatio,0)</f>
        <v>55.31409859909707</v>
      </c>
      <c r="I164" s="27">
        <f>IF(I157=1,I160*CapexRatio,0)</f>
        <v>56.42038057107901</v>
      </c>
      <c r="J164" s="27">
        <f>IF(J157=1,J160*CapexRatio,0)</f>
        <v>57.548788182500594</v>
      </c>
      <c r="K164" s="27">
        <f>IF(K157=1,K160*CapexRatio,0)</f>
        <v>0.0</v>
      </c>
      <c r="L164" s="27">
        <f>IF(L157=1,L160*CapexRatio,0)</f>
        <v>0.0</v>
      </c>
      <c r="M164" s="27">
        <f>IF(M157=1,M160*CapexRatio,0)</f>
        <v>0.0</v>
      </c>
      <c r="N164" s="27">
        <f>IF(N157=1,N160*CapexRatio,0)</f>
        <v>0.0</v>
      </c>
      <c r="O164" s="27">
        <f>IF(O157=1,O160*CapexRatio,0)</f>
        <v>0.0</v>
      </c>
      <c r="P164" s="27">
        <f>IF(P157=1,P160*CapexRatio,0)</f>
        <v>0.0</v>
      </c>
      <c r="Q164" s="27">
        <f>IF(Q157=1,Q160*CapexRatio,0)</f>
        <v>0.0</v>
      </c>
      <c r="R164" s="27">
        <f>IF(R157=1,R160*CapexRatio,0)</f>
        <v>0.0</v>
      </c>
    </row>
    <row r="165" spans="1:18">
      <c r="A165" s="7" t="s">
        <v>470</v>
      </c>
      <c r="B165" s="9" t="s">
        <v>132</v>
      </c>
      <c r="C165" s="27">
        <f>NWC_Open</f>
        <v>304.03031599999997</v>
      </c>
      <c r="D165" s="27">
        <f>IF(D157=1,D159*DSO/DaysYr+D159*COGSR*DIO/DaysYr-D159*COGSR*DPO/DaysYr,C165)</f>
        <v>148.83625354132937</v>
      </c>
      <c r="E165" s="27">
        <f>IF(E157=1,E159*DSO/DaysYr+E159*COGSR*DIO/DaysYr-E159*COGSR*DPO/DaysYr,D165)</f>
        <v>153.4226640820866</v>
      </c>
      <c r="F165" s="27">
        <f>IF(F157=1,F159*DSO/DaysYr+F159*COGSR*DIO/DaysYr-F159*COGSR*DPO/DaysYr,E165)</f>
        <v>157.59730946972786</v>
      </c>
      <c r="G165" s="27">
        <f>IF(G157=1,G159*DSO/DaysYr+G159*COGSR*DIO/DaysYr-G159*COGSR*DPO/DaysYr,F165)</f>
        <v>161.3174015087111</v>
      </c>
      <c r="H165" s="27">
        <f>IF(H157=1,H159*DSO/DaysYr+H159*COGSR*DIO/DaysYr-H159*COGSR*DPO/DaysYr,G165)</f>
        <v>164.54374953888555</v>
      </c>
      <c r="I165" s="27">
        <f>IF(I157=1,I159*DSO/DaysYr+I159*COGSR*DIO/DaysYr-I159*COGSR*DPO/DaysYr,H165)</f>
        <v>167.83462452966342</v>
      </c>
      <c r="J165" s="27">
        <f>IF(J157=1,J159*DSO/DaysYr+J159*COGSR*DIO/DaysYr-J159*COGSR*DPO/DaysYr,I165)</f>
        <v>171.1913170202563</v>
      </c>
      <c r="K165" s="27">
        <f>IF(K157=1,K159*DSO/DaysYr+K159*COGSR*DIO/DaysYr-K159*COGSR*DPO/DaysYr,J165)</f>
        <v>171.1913170202563</v>
      </c>
      <c r="L165" s="27">
        <f>IF(L157=1,L159*DSO/DaysYr+L159*COGSR*DIO/DaysYr-L159*COGSR*DPO/DaysYr,K165)</f>
        <v>171.1913170202563</v>
      </c>
      <c r="M165" s="27">
        <f>IF(M157=1,M159*DSO/DaysYr+M159*COGSR*DIO/DaysYr-M159*COGSR*DPO/DaysYr,L165)</f>
        <v>171.1913170202563</v>
      </c>
      <c r="N165" s="27">
        <f>IF(N157=1,N159*DSO/DaysYr+N159*COGSR*DIO/DaysYr-N159*COGSR*DPO/DaysYr,M165)</f>
        <v>171.1913170202563</v>
      </c>
      <c r="O165" s="27">
        <f>IF(O157=1,O159*DSO/DaysYr+O159*COGSR*DIO/DaysYr-O159*COGSR*DPO/DaysYr,N165)</f>
        <v>171.1913170202563</v>
      </c>
      <c r="P165" s="27">
        <f>IF(P157=1,P159*DSO/DaysYr+P159*COGSR*DIO/DaysYr-P159*COGSR*DPO/DaysYr,O165)</f>
        <v>171.1913170202563</v>
      </c>
      <c r="Q165" s="27">
        <f>IF(Q157=1,Q159*DSO/DaysYr+Q159*COGSR*DIO/DaysYr-Q159*COGSR*DPO/DaysYr,P165)</f>
        <v>171.1913170202563</v>
      </c>
      <c r="R165" s="27">
        <f>IF(R157=1,R159*DSO/DaysYr+R159*COGSR*DIO/DaysYr-R159*COGSR*DPO/DaysYr,Q165)</f>
        <v>171.1913170202563</v>
      </c>
    </row>
    <row r="166" spans="1:18">
      <c r="A166" s="7" t="s">
        <v>471</v>
      </c>
      <c r="B166" s="9" t="s">
        <v>132</v>
      </c>
      <c r="D166" s="40">
        <f>IF(D157=1,D165-C165,0)</f>
        <v>-155.1940624586706</v>
      </c>
      <c r="E166" s="40">
        <f>IF(E157=1,E165-D165,0)</f>
        <v>4.586410540757242</v>
      </c>
      <c r="F166" s="40">
        <f>IF(F157=1,F165-E165,0)</f>
        <v>4.174645387641249</v>
      </c>
      <c r="G166" s="40">
        <f>IF(G157=1,G165-F165,0)</f>
        <v>3.720092038983239</v>
      </c>
      <c r="H166" s="40">
        <f>IF(H157=1,H165-G165,0)</f>
        <v>3.2263480301744494</v>
      </c>
      <c r="I166" s="40">
        <f>IF(I157=1,I165-H165,0)</f>
        <v>3.2908749907778656</v>
      </c>
      <c r="J166" s="40">
        <f>IF(J157=1,J165-I165,0)</f>
        <v>3.356692490592877</v>
      </c>
      <c r="K166" s="40">
        <f>IF(K157=1,K165-J165,0)</f>
        <v>0.0</v>
      </c>
      <c r="L166" s="40">
        <f>IF(L157=1,L165-K165,0)</f>
        <v>0.0</v>
      </c>
      <c r="M166" s="40">
        <f>IF(M157=1,M165-L165,0)</f>
        <v>0.0</v>
      </c>
      <c r="N166" s="40">
        <f>IF(N157=1,N165-M165,0)</f>
        <v>0.0</v>
      </c>
      <c r="O166" s="40">
        <f>IF(O157=1,O165-N165,0)</f>
        <v>0.0</v>
      </c>
      <c r="P166" s="40">
        <f>IF(P157=1,P165-O165,0)</f>
        <v>0.0</v>
      </c>
      <c r="Q166" s="40">
        <f>IF(Q157=1,Q165-P165,0)</f>
        <v>0.0</v>
      </c>
      <c r="R166" s="40">
        <f>IF(R157=1,R165-Q165,0)</f>
        <v>0.0</v>
      </c>
    </row>
    <row r="167" spans="1:18">
      <c r="A167" s="7" t="s">
        <v>472</v>
      </c>
      <c r="B167" s="9" t="s">
        <v>16</v>
      </c>
      <c r="D167" s="30">
        <f>IF(D162&gt;0,IF(D162&gt;0,SUMPRODUCT((D162&gt;TaxFrom)*(D162-TaxFrom)*TaxDRate),0)/D162,0)</f>
        <v>0.0</v>
      </c>
      <c r="E167" s="30">
        <f>IF(E162&gt;0,IF(E162&gt;0,SUMPRODUCT((E162&gt;TaxFrom)*(E162-TaxFrom)*TaxDRate),0)/E162,0)</f>
        <v>0.11</v>
      </c>
      <c r="F167" s="30">
        <f>IF(F162&gt;0,IF(F162&gt;0,SUMPRODUCT((F162&gt;TaxFrom)*(F162-TaxFrom)*TaxDRate),0)/F162,0)</f>
        <v>0.1166600288807342</v>
      </c>
      <c r="G167" s="30">
        <f>IF(G162&gt;0,IF(G162&gt;0,SUMPRODUCT((G162&gt;TaxFrom)*(G162-TaxFrom)*TaxDRate),0)/G162,0)</f>
        <v>0.13388195713920842</v>
      </c>
      <c r="H167" s="30">
        <f>IF(H162&gt;0,IF(H162&gt;0,SUMPRODUCT((H162&gt;TaxFrom)*(H162-TaxFrom)*TaxDRate),0)/H162,0)</f>
        <v>0.14638990026456516</v>
      </c>
      <c r="I167" s="30">
        <f>IF(I162&gt;0,IF(I162&gt;0,SUMPRODUCT((I162&gt;TaxFrom)*(I162-TaxFrom)*TaxDRate),0)/I162,0)</f>
        <v>0.15603069012446957</v>
      </c>
      <c r="J167" s="30">
        <f>IF(J162&gt;0,IF(J162&gt;0,SUMPRODUCT((J162&gt;TaxFrom)*(J162-TaxFrom)*TaxDRate),0)/J162,0)</f>
        <v>0.1636821587230379</v>
      </c>
      <c r="K167" s="30">
        <f>IF(K162&gt;0,IF(K162&gt;0,SUMPRODUCT((K162&gt;TaxFrom)*(K162-TaxFrom)*TaxDRate),0)/K162,0)</f>
        <v>0.16478643012062544</v>
      </c>
      <c r="L167" s="30">
        <f>IF(L162&gt;0,IF(L162&gt;0,SUMPRODUCT((L162&gt;TaxFrom)*(L162-TaxFrom)*TaxDRate),0)/L162,0)</f>
        <v>0.16586904913786804</v>
      </c>
      <c r="M167" s="30">
        <f>IF(M162&gt;0,IF(M162&gt;0,SUMPRODUCT((M162&gt;TaxFrom)*(M162-TaxFrom)*TaxDRate),0)/M162,0)</f>
        <v>0.16693044033124319</v>
      </c>
      <c r="N167" s="30">
        <f>IF(N162&gt;0,IF(N162&gt;0,SUMPRODUCT((N162&gt;TaxFrom)*(N162-TaxFrom)*TaxDRate),0)/N162,0)</f>
        <v>0.16797101993259136</v>
      </c>
      <c r="O167" s="30">
        <f>IF(O162&gt;0,IF(O162&gt;0,SUMPRODUCT((O162&gt;TaxFrom)*(O162-TaxFrom)*TaxDRate),0)/O162,0)</f>
        <v>0.16899119601234447</v>
      </c>
      <c r="P167" s="30">
        <f>IF(P162&gt;0,IF(P162&gt;0,SUMPRODUCT((P162&gt;TaxFrom)*(P162-TaxFrom)*TaxDRate),0)/P162,0)</f>
        <v>0.16999136863955341</v>
      </c>
      <c r="Q167" s="30">
        <f>IF(Q162&gt;0,IF(Q162&gt;0,SUMPRODUCT((Q162&gt;TaxFrom)*(Q162-TaxFrom)*TaxDRate),0)/Q162,0)</f>
        <v>0.17097193003877786</v>
      </c>
      <c r="R167" s="30">
        <f>IF(R162&gt;0,IF(R162&gt;0,SUMPRODUCT((R162&gt;TaxFrom)*(R162-TaxFrom)*TaxDRate),0)/R162,0)</f>
        <v>0.17193326474389986</v>
      </c>
    </row>
    <row r="168" spans="1:18">
      <c r="A168" s="7" t="s">
        <v>473</v>
      </c>
      <c r="B168" s="9" t="s">
        <v>132</v>
      </c>
      <c r="D168" s="40">
        <f>MAX(D161,0)*D167</f>
        <v>0.0</v>
      </c>
      <c r="E168" s="40">
        <f>MAX(E161,0)*E167</f>
        <v>18.869328984021458</v>
      </c>
      <c r="F168" s="40">
        <f>MAX(F161,0)*F167</f>
        <v>24.835701109439086</v>
      </c>
      <c r="G168" s="40">
        <f>MAX(G161,0)*G167</f>
        <v>34.20192748485682</v>
      </c>
      <c r="H168" s="40">
        <f>MAX(H161,0)*H167</f>
        <v>43.75184678998734</v>
      </c>
      <c r="I168" s="40">
        <f>MAX(I161,0)*I167</f>
        <v>53.66128209632912</v>
      </c>
      <c r="J168" s="40">
        <f>MAX(J161,0)*J167</f>
        <v>63.940794076208604</v>
      </c>
      <c r="K168" s="40">
        <f>MAX(K161,0)*K167</f>
        <v>65.6596099577328</v>
      </c>
      <c r="L168" s="40">
        <f>MAX(L161,0)*L167</f>
        <v>67.41280215688745</v>
      </c>
      <c r="M168" s="40">
        <f>MAX(M161,0)*M167</f>
        <v>69.2010582000252</v>
      </c>
      <c r="N168" s="40">
        <f>MAX(N161,0)*N167</f>
        <v>71.02507936402571</v>
      </c>
      <c r="O168" s="40">
        <f>MAX(O161,0)*O167</f>
        <v>72.88558095130624</v>
      </c>
      <c r="P168" s="40">
        <f>MAX(P161,0)*P167</f>
        <v>74.78329257033236</v>
      </c>
      <c r="Q168" s="40">
        <f>MAX(Q161,0)*Q167</f>
        <v>76.71895842173902</v>
      </c>
      <c r="R168" s="40">
        <f>MAX(R161,0)*R167</f>
        <v>78.6933375901738</v>
      </c>
    </row>
    <row r="169" spans="1:18">
      <c r="A169" s="7" t="s">
        <v>474</v>
      </c>
      <c r="B169" s="9" t="s">
        <v>132</v>
      </c>
      <c r="D169" s="40">
        <f>D161-D168</f>
        <v>73.05268569451576</v>
      </c>
      <c r="E169" s="40">
        <f>E161-E168</f>
        <v>152.67002541617362</v>
      </c>
      <c r="F169" s="40">
        <f>F161-F168</f>
        <v>188.05384938801132</v>
      </c>
      <c r="G169" s="40">
        <f>G161-G168</f>
        <v>221.26137926449235</v>
      </c>
      <c r="H169" s="40">
        <f>H161-H168</f>
        <v>255.12018407359147</v>
      </c>
      <c r="I169" s="40">
        <f>I161-I168</f>
        <v>290.2536365233487</v>
      </c>
      <c r="J169" s="40">
        <f>J161-J168</f>
        <v>326.6991789974669</v>
      </c>
      <c r="K169" s="40">
        <f>K161-K168</f>
        <v>332.79316257741624</v>
      </c>
      <c r="L169" s="40">
        <f>L161-L168</f>
        <v>339.00902582896464</v>
      </c>
      <c r="M169" s="40">
        <f>M161-M168</f>
        <v>345.3492063455439</v>
      </c>
      <c r="N169" s="40">
        <f>N161-N168</f>
        <v>351.8161904724548</v>
      </c>
      <c r="O169" s="40">
        <f>O161-O168</f>
        <v>358.41251428190395</v>
      </c>
      <c r="P169" s="40">
        <f>P161-P168</f>
        <v>365.140764567542</v>
      </c>
      <c r="Q169" s="40">
        <f>Q161-Q168</f>
        <v>372.00357985889286</v>
      </c>
      <c r="R169" s="40">
        <f>R161-R168</f>
        <v>379.00365145607077</v>
      </c>
    </row>
    <row r="170" spans="1:18">
      <c r="A170" s="7" t="s">
        <v>663</v>
      </c>
      <c r="B170" s="9" t="s">
        <v>132</v>
      </c>
      <c r="D170" s="40">
        <f>D169+D163-D164-D166</f>
        <v>251.60465484080112</v>
      </c>
      <c r="E170" s="40">
        <f>E169+E163-E164-E166</f>
        <v>191.51348203967757</v>
      </c>
      <c r="F170" s="40">
        <f>F169+F163-F164-F166</f>
        <v>228.4908020107738</v>
      </c>
      <c r="G170" s="40">
        <f>G169+G163-G164-G166</f>
        <v>263.2059441438551</v>
      </c>
      <c r="H170" s="40">
        <f>H169+H163-H164-H166</f>
        <v>298.4717861001299</v>
      </c>
      <c r="I170" s="40">
        <f>I169+I163-I164-I166</f>
        <v>334.47227059041796</v>
      </c>
      <c r="J170" s="40">
        <f>J169+J163-J164-J166</f>
        <v>371.80218574587815</v>
      </c>
      <c r="K170" s="40">
        <f>K169+K163-K164-K166</f>
        <v>332.79316257741624</v>
      </c>
      <c r="L170" s="40">
        <f>L169+L163-L164-L166</f>
        <v>339.00902582896464</v>
      </c>
      <c r="M170" s="40">
        <f>M169+M163-M164-M166</f>
        <v>345.3492063455439</v>
      </c>
      <c r="N170" s="40">
        <f>N169+N163-N164-N166</f>
        <v>351.8161904724548</v>
      </c>
      <c r="O170" s="40">
        <f>O169+O163-O164-O166</f>
        <v>358.41251428190395</v>
      </c>
      <c r="P170" s="40">
        <f>P169+P163-P164-P166</f>
        <v>365.140764567542</v>
      </c>
      <c r="Q170" s="40">
        <f>Q169+Q163-Q164-Q166</f>
        <v>372.00357985889286</v>
      </c>
      <c r="R170" s="40">
        <f>R169+R163-R164-R166</f>
        <v>379.00365145607077</v>
      </c>
    </row>
    <row r="172" spans="1:18">
      <c r="A172" s="7" t="s">
        <v>664</v>
      </c>
      <c r="B172" s="9" t="s">
        <v>132</v>
      </c>
      <c r="C172" s="27">
        <f>D159*Forecast!$E$42</f>
        <v>131.76800741205625</v>
      </c>
    </row>
    <row r="173" spans="1:18">
      <c r="A173" s="7" t="s">
        <v>665</v>
      </c>
      <c r="B173" s="9" t="s">
        <v>132</v>
      </c>
      <c r="C173" s="40">
        <f>D162</f>
        <v>-186.22014730548423</v>
      </c>
    </row>
    <row r="174" spans="1:18">
      <c r="A174" s="7" t="s">
        <v>556</v>
      </c>
      <c r="B174" s="9" t="s">
        <v>132</v>
      </c>
      <c r="C174" s="27">
        <f>IF(RonicStart="normal",C172-IF(C172&gt;0,SUMPRODUCT((C172&gt;TaxFrom)*(C172-TaxFrom)*TaxDRate),0),C173-IF(C173&gt;0,SUMPRODUCT((C173&gt;TaxFrom)*(C173-TaxFrom)*TaxDRate),0))</f>
        <v>117.27352659673006</v>
      </c>
    </row>
    <row r="175" spans="1:18">
      <c r="A175" s="7" t="s">
        <v>558</v>
      </c>
      <c r="B175" s="9" t="s">
        <v>132</v>
      </c>
      <c r="C175" s="27">
        <f>INDEX($D$161:$R$161,MATCH(ExplicitEnd,$D$152:$R$152,0))</f>
        <v>390.6399730736755</v>
      </c>
    </row>
    <row r="176" spans="1:18">
      <c r="A176" s="7" t="s">
        <v>559</v>
      </c>
      <c r="B176" s="9" t="s">
        <v>132</v>
      </c>
      <c r="C176" s="27">
        <f>C175-IF(C175&gt;0,SUMPRODUCT((C175&gt;TaxFrom)*(C175-TaxFrom)*TaxDRate),0)</f>
        <v>326.6991789974669</v>
      </c>
    </row>
    <row r="177" spans="1:18">
      <c r="A177" s="7" t="s">
        <v>666</v>
      </c>
      <c r="B177" s="9" t="s">
        <v>132</v>
      </c>
      <c r="C177" s="40">
        <f>SUMPRODUCT(($D$151:$R$151&gt;1)*$D$157:$R$157*($D$164:$R$164-$D$163:$R$163+$D$166:$R$166))</f>
        <v>-253.89821696764807</v>
      </c>
    </row>
    <row r="178" spans="1:18">
      <c r="A178" s="7" t="s">
        <v>561</v>
      </c>
      <c r="C178" s="31">
        <f>IF(C177&gt;0,(C176-C174)/C177,0)</f>
        <v>0.0</v>
      </c>
    </row>
    <row r="179" spans="1:18">
      <c r="A179" s="7" t="s">
        <v>531</v>
      </c>
      <c r="C179" s="28">
        <f>T_Kd</f>
        <v>0.11</v>
      </c>
    </row>
    <row r="180" spans="1:18">
      <c r="A180" s="7" t="s">
        <v>667</v>
      </c>
      <c r="B180" s="9" t="s">
        <v>132</v>
      </c>
      <c r="C180" s="40">
        <f>$R$160</f>
        <v>5139.749541088981</v>
      </c>
    </row>
    <row r="181" spans="1:18">
      <c r="A181" s="7" t="s">
        <v>570</v>
      </c>
      <c r="B181" s="9" t="s">
        <v>132</v>
      </c>
      <c r="C181" s="27">
        <f>(C180*(1+GTermCfg)*(Forecast!$E$42+MarginConvAmt))-IF((C180*(1+GTermCfg)*(Forecast!$E$42+MarginConvAmt))&gt;0,SUMPRODUCT(((C180*(1+GTermCfg)*(Forecast!$E$42+MarginConvAmt))&gt;TaxFrom)*((C180*(1+GTermCfg)*(Forecast!$E$42+MarginConvAmt))-TaxFrom)*TaxDRate),0)</f>
        <v>386.14372448519214</v>
      </c>
    </row>
    <row r="183" spans="1:18">
      <c r="A183" s="3" t="s">
        <v>71</v>
      </c>
      <c r="C183" s="30">
        <f>SRP_1</f>
        <v>0.0</v>
      </c>
    </row>
    <row r="184" spans="1:18">
      <c r="A184" s="7" t="s">
        <v>668</v>
      </c>
      <c r="C184" s="45">
        <f>(1-WD)*(Rf+BetaL*MRP+SRP_1)+WD*Kd_Pre*(1-C179)</f>
        <v>0.09212124321403853</v>
      </c>
    </row>
    <row r="185" spans="1:18">
      <c r="A185" s="7" t="s">
        <v>562</v>
      </c>
      <c r="C185" s="30">
        <f>IF(C177&lt;=0,C184,IF(C178&lt;C184,C184,IF(C178&gt;RonicCap,MAX(RonicCap,C184),C178)))</f>
        <v>0.09212124321403853</v>
      </c>
    </row>
    <row r="186" spans="1:18">
      <c r="A186" s="7" t="s">
        <v>477</v>
      </c>
      <c r="D186" s="40">
        <f>D170-IF(D157=1,0,D169*D158/C185)</f>
        <v>251.60465484080112</v>
      </c>
      <c r="E186" s="40">
        <f>E170-IF(E157=1,0,E169*E158/C185)</f>
        <v>191.51348203967757</v>
      </c>
      <c r="F186" s="40">
        <f>F170-IF(F157=1,0,F169*F158/C185)</f>
        <v>228.4908020107738</v>
      </c>
      <c r="G186" s="40">
        <f>G170-IF(G157=1,0,G169*G158/C185)</f>
        <v>263.2059441438551</v>
      </c>
      <c r="H186" s="40">
        <f>H170-IF(H157=1,0,H169*H158/C185)</f>
        <v>298.4717861001299</v>
      </c>
      <c r="I186" s="40">
        <f>I170-IF(I157=1,0,I169*I158/C185)</f>
        <v>334.47227059041796</v>
      </c>
      <c r="J186" s="40">
        <f>J170-IF(J157=1,0,J169*J158/C185)</f>
        <v>371.80218574587815</v>
      </c>
      <c r="K186" s="40">
        <f>K170-IF(K157=1,0,K169*K158/C185)</f>
        <v>260.54203982515594</v>
      </c>
      <c r="L186" s="40">
        <f>L170-IF(L157=1,0,L169*L158/C185)</f>
        <v>265.40840690520645</v>
      </c>
      <c r="M186" s="40">
        <f>M170-IF(M157=1,0,M169*M158/C185)</f>
        <v>270.37210132685794</v>
      </c>
      <c r="N186" s="40">
        <f>N170-IF(N157=1,0,N169*N158/C185)</f>
        <v>275.4350696369425</v>
      </c>
      <c r="O186" s="40">
        <f>O170-IF(O157=1,0,O169*O158/C185)</f>
        <v>280.59929731322876</v>
      </c>
      <c r="P186" s="40">
        <f>P170-IF(P157=1,0,P169*P158/C185)</f>
        <v>285.8668095430407</v>
      </c>
      <c r="Q186" s="40">
        <f>Q170-IF(Q157=1,0,Q169*Q158/C185)</f>
        <v>291.23967201744887</v>
      </c>
      <c r="R186" s="40">
        <f>R170-IF(R157=1,0,R169*R158/C185)</f>
        <v>296.7199917413452</v>
      </c>
    </row>
    <row r="187" spans="1:18">
      <c r="A187" s="7" t="s">
        <v>669</v>
      </c>
      <c r="D187" s="27">
        <f>D186*(1+C184)^(-DCF!D10)</f>
        <v>246.07773409650667</v>
      </c>
      <c r="E187" s="27">
        <f>E186*(1+C184)^(-DCF!E10)</f>
        <v>175.29568276022331</v>
      </c>
      <c r="F187" s="27">
        <f>F186*(1+C184)^(-DCF!F10)</f>
        <v>191.47730627933967</v>
      </c>
      <c r="G187" s="27">
        <f>G186*(1+C184)^(-DCF!G10)</f>
        <v>201.93937113276658</v>
      </c>
      <c r="H187" s="27">
        <f>H186*(1+C184)^(-DCF!H10)</f>
        <v>209.68035159001423</v>
      </c>
      <c r="I187" s="27">
        <f>I186*(1+C184)^(-DCF!I10)</f>
        <v>215.1511715782693</v>
      </c>
      <c r="J187" s="27">
        <f>J186*(1+C184)^(-DCF!J10)</f>
        <v>218.96376643115252</v>
      </c>
      <c r="K187" s="27">
        <f>K186*(1+C184)^(-DCF!K10)</f>
        <v>140.48011194126394</v>
      </c>
      <c r="L187" s="27">
        <f>L186*(1+C184)^(-DCF!L10)</f>
        <v>131.03305181187378</v>
      </c>
      <c r="M187" s="27">
        <f>M186*(1+C184)^(-DCF!M10)</f>
        <v>122.22419974698042</v>
      </c>
      <c r="N187" s="27">
        <f>N186*(1+C184)^(-DCF!N10)</f>
        <v>113.99643797009774</v>
      </c>
      <c r="O187" s="27">
        <f>O186*(1+C184)^(-DCF!O10)</f>
        <v>106.32498838230724</v>
      </c>
      <c r="P187" s="27">
        <f>P186*(1+C184)^(-DCF!P10)</f>
        <v>99.18400587007802</v>
      </c>
      <c r="Q187" s="27">
        <f>Q186*(1+C184)^(-DCF!Q10)</f>
        <v>92.52467931307785</v>
      </c>
      <c r="R187" s="27">
        <f>R186*(1+C184)^(-DCF!R10)</f>
        <v>86.3039320499851</v>
      </c>
    </row>
    <row r="188" spans="1:18">
      <c r="A188" s="7" t="s">
        <v>670</v>
      </c>
      <c r="B188" s="9" t="s">
        <v>132</v>
      </c>
      <c r="C188" s="27">
        <f>C181*(1-GTermCfg/C185)/(C184-GTermCfg)*IF(MidYear=1,(1+C184)^0.5,1)</f>
        <v>4380.509416688821</v>
      </c>
    </row>
    <row r="189" spans="1:18">
      <c r="A189" s="7" t="s">
        <v>574</v>
      </c>
      <c r="B189" s="9" t="s">
        <v>132</v>
      </c>
      <c r="C189" s="27">
        <f>C188*(1+C184)^(-DCF!R9)</f>
        <v>1219.0472515242004</v>
      </c>
    </row>
    <row r="190" spans="1:18">
      <c r="A190" s="7" t="s">
        <v>671</v>
      </c>
      <c r="B190" s="9" t="s">
        <v>132</v>
      </c>
      <c r="C190" s="40">
        <f>SUM(D187:R187)+C189</f>
        <v>3569.7040424781367</v>
      </c>
    </row>
    <row r="191" spans="1:18">
      <c r="A191" s="7" t="s">
        <v>605</v>
      </c>
      <c r="B191" s="9" t="s">
        <v>132</v>
      </c>
      <c r="C191" s="27">
        <f>C190*(1+C184)^((ValDate-DiscDate)/DaysYr)</f>
        <v>3649.87981049633</v>
      </c>
    </row>
    <row r="192" spans="1:18">
      <c r="A192" s="7" t="s">
        <v>672</v>
      </c>
      <c r="B192" s="9" t="s">
        <v>132</v>
      </c>
      <c r="C192" s="27">
        <f>C191+BridgeAdj</f>
        <v>239756.2076404963</v>
      </c>
    </row>
    <row r="193" spans="1:18">
      <c r="A193" s="3" t="s">
        <v>673</v>
      </c>
      <c r="B193" s="9" t="s">
        <v>129</v>
      </c>
      <c r="C193" s="56">
        <f>C192*MnToWon/Shares</f>
        <v>8767.506543663274</v>
      </c>
    </row>
    <row r="194" spans="1:18">
      <c r="A194" s="7" t="s">
        <v>599</v>
      </c>
      <c r="C194" s="29">
        <f>C189/C190</f>
        <v>0.34149812898156157</v>
      </c>
    </row>
    <row r="196" spans="1:18">
      <c r="A196" s="3" t="s">
        <v>74</v>
      </c>
      <c r="C196" s="30">
        <f>SRP_2</f>
        <v>0.01</v>
      </c>
    </row>
    <row r="197" spans="1:18">
      <c r="A197" s="7" t="s">
        <v>668</v>
      </c>
      <c r="C197" s="45">
        <f>(1-WD)*(Rf+BetaL*MRP+SRP_2)+WD*Kd_Pre*(1-C179)</f>
        <v>0.10207882733578563</v>
      </c>
    </row>
    <row r="198" spans="1:18">
      <c r="A198" s="7" t="s">
        <v>562</v>
      </c>
      <c r="C198" s="30">
        <f>IF(C177&lt;=0,C197,IF(C178&lt;C197,C197,IF(C178&gt;RonicCap,MAX(RonicCap,C197),C178)))</f>
        <v>0.10207882733578563</v>
      </c>
    </row>
    <row r="199" spans="1:18">
      <c r="A199" s="7" t="s">
        <v>477</v>
      </c>
      <c r="D199" s="40">
        <f>D170-IF(D157=1,0,D169*D158/C198)</f>
        <v>251.60465484080112</v>
      </c>
      <c r="E199" s="40">
        <f>E170-IF(E157=1,0,E169*E158/C198)</f>
        <v>191.51348203967757</v>
      </c>
      <c r="F199" s="40">
        <f>F170-IF(F157=1,0,F169*F158/C198)</f>
        <v>228.4908020107738</v>
      </c>
      <c r="G199" s="40">
        <f>G170-IF(G157=1,0,G169*G158/C198)</f>
        <v>263.2059441438551</v>
      </c>
      <c r="H199" s="40">
        <f>H170-IF(H157=1,0,H169*H158/C198)</f>
        <v>298.4717861001299</v>
      </c>
      <c r="I199" s="40">
        <f>I170-IF(I157=1,0,I169*I158/C198)</f>
        <v>334.47227059041796</v>
      </c>
      <c r="J199" s="40">
        <f>J170-IF(J157=1,0,J169*J158/C198)</f>
        <v>371.80218574587815</v>
      </c>
      <c r="K199" s="40">
        <f>K170-IF(K157=1,0,K169*K158/C198)</f>
        <v>267.5899914080019</v>
      </c>
      <c r="L199" s="40">
        <f>L170-IF(L157=1,0,L169*L158/C198)</f>
        <v>272.58799912304386</v>
      </c>
      <c r="M199" s="40">
        <f>M170-IF(M157=1,0,M169*M158/C198)</f>
        <v>277.6859669923866</v>
      </c>
      <c r="N199" s="40">
        <f>N170-IF(N157=1,0,N169*N158/C198)</f>
        <v>282.88589421911627</v>
      </c>
      <c r="O199" s="40">
        <f>O170-IF(O157=1,0,O169*O158/C198)</f>
        <v>288.18981999038056</v>
      </c>
      <c r="P199" s="40">
        <f>P170-IF(P157=1,0,P169*P158/C198)</f>
        <v>293.59982427707</v>
      </c>
      <c r="Q199" s="40">
        <f>Q170-IF(Q157=1,0,Q169*Q158/C198)</f>
        <v>299.11802864949334</v>
      </c>
      <c r="R199" s="40">
        <f>R170-IF(R157=1,0,R169*R158/C198)</f>
        <v>304.7465971093651</v>
      </c>
    </row>
    <row r="200" spans="1:18">
      <c r="A200" s="7" t="s">
        <v>669</v>
      </c>
      <c r="D200" s="27">
        <f>D199*(1+C197)^(-DCF!D10)</f>
        <v>245.51541693532664</v>
      </c>
      <c r="E200" s="27">
        <f>E199*(1+C197)^(-DCF!E10)</f>
        <v>173.70535890868078</v>
      </c>
      <c r="F200" s="27">
        <f>F199*(1+C197)^(-DCF!F10)</f>
        <v>188.02348664491294</v>
      </c>
      <c r="G200" s="27">
        <f>G199*(1+C197)^(-DCF!G10)</f>
        <v>196.50272992747165</v>
      </c>
      <c r="H200" s="27">
        <f>H199*(1+C197)^(-DCF!H10)</f>
        <v>202.19179168887902</v>
      </c>
      <c r="I200" s="27">
        <f>I199*(1+C197)^(-DCF!I10)</f>
        <v>205.5927026554928</v>
      </c>
      <c r="J200" s="27">
        <f>J199*(1+C197)^(-DCF!J10)</f>
        <v>207.34283447685874</v>
      </c>
      <c r="K200" s="27">
        <f>K199*(1+C197)^(-DCF!K10)</f>
        <v>135.38684687259754</v>
      </c>
      <c r="L200" s="27">
        <f>L199*(1+C197)^(-DCF!L10)</f>
        <v>125.14130539349287</v>
      </c>
      <c r="M200" s="27">
        <f>M199*(1+C197)^(-DCF!M10)</f>
        <v>115.67385868472115</v>
      </c>
      <c r="N200" s="27">
        <f>N199*(1+C197)^(-DCF!N10)</f>
        <v>106.91092768188103</v>
      </c>
      <c r="O200" s="27">
        <f>O199*(1+C197)^(-DCF!O10)</f>
        <v>98.81410849841237</v>
      </c>
      <c r="P200" s="27">
        <f>P199*(1+C197)^(-DCF!P10)</f>
        <v>91.34472094332489</v>
      </c>
      <c r="Q200" s="27">
        <f>Q199*(1+C197)^(-DCF!Q10)</f>
        <v>84.4418215100592</v>
      </c>
      <c r="R200" s="27">
        <f>R199*(1+C197)^(-DCF!R10)</f>
        <v>78.05188273023465</v>
      </c>
    </row>
    <row r="201" spans="1:18">
      <c r="A201" s="7" t="s">
        <v>670</v>
      </c>
      <c r="B201" s="9" t="s">
        <v>132</v>
      </c>
      <c r="C201" s="27">
        <f>C181*(1-GTermCfg/C198)/(C197-GTermCfg)*IF(MidYear=1,(1+C197)^0.5,1)</f>
        <v>3971.180601500449</v>
      </c>
    </row>
    <row r="202" spans="1:18">
      <c r="A202" s="7" t="s">
        <v>574</v>
      </c>
      <c r="B202" s="9" t="s">
        <v>132</v>
      </c>
      <c r="C202" s="27">
        <f>C201*(1+C197)^(-DCF!R9)</f>
        <v>968.7238714637448</v>
      </c>
    </row>
    <row r="203" spans="1:18">
      <c r="A203" s="7" t="s">
        <v>671</v>
      </c>
      <c r="B203" s="9" t="s">
        <v>132</v>
      </c>
      <c r="C203" s="40">
        <f>SUM(D200:R200)+C202</f>
        <v>3223.363665016091</v>
      </c>
    </row>
    <row r="204" spans="1:18">
      <c r="A204" s="7" t="s">
        <v>605</v>
      </c>
      <c r="B204" s="9" t="s">
        <v>132</v>
      </c>
      <c r="C204" s="27">
        <f>C203*(1+C197)^((ValDate-DiscDate)/DaysYr)</f>
        <v>3303.3090650123586</v>
      </c>
    </row>
    <row r="205" spans="1:18">
      <c r="A205" s="7" t="s">
        <v>672</v>
      </c>
      <c r="B205" s="9" t="s">
        <v>132</v>
      </c>
      <c r="C205" s="27">
        <f>C204+BridgeAdj</f>
        <v>239409.6368950123</v>
      </c>
    </row>
    <row r="206" spans="1:18">
      <c r="A206" s="3" t="s">
        <v>673</v>
      </c>
      <c r="B206" s="9" t="s">
        <v>129</v>
      </c>
      <c r="C206" s="56">
        <f>C205*MnToWon/Shares</f>
        <v>8754.832997861162</v>
      </c>
    </row>
    <row r="207" spans="1:18">
      <c r="A207" s="7" t="s">
        <v>599</v>
      </c>
      <c r="C207" s="29">
        <f>C202/C203</f>
        <v>0.30053198215811894</v>
      </c>
    </row>
    <row r="209" spans="1:18">
      <c r="A209" s="3" t="s">
        <v>75</v>
      </c>
      <c r="C209" s="30">
        <f>SRP_3</f>
        <v>0.02</v>
      </c>
    </row>
    <row r="210" spans="1:18">
      <c r="A210" s="7" t="s">
        <v>668</v>
      </c>
      <c r="C210" s="45">
        <f>(1-WD)*(Rf+BetaL*MRP+SRP_3)+WD*Kd_Pre*(1-C179)</f>
        <v>0.11203641145753274</v>
      </c>
    </row>
    <row r="211" spans="1:18">
      <c r="A211" s="7" t="s">
        <v>562</v>
      </c>
      <c r="C211" s="30">
        <f>IF(C177&lt;=0,C210,IF(C178&lt;C210,C210,IF(C178&gt;RonicCap,MAX(RonicCap,C210),C178)))</f>
        <v>0.11203641145753274</v>
      </c>
    </row>
    <row r="212" spans="1:18">
      <c r="A212" s="7" t="s">
        <v>477</v>
      </c>
      <c r="D212" s="40">
        <f>D170-IF(D157=1,0,D169*D158/C211)</f>
        <v>251.60465484080112</v>
      </c>
      <c r="E212" s="40">
        <f>E170-IF(E157=1,0,E169*E158/C211)</f>
        <v>191.51348203967757</v>
      </c>
      <c r="F212" s="40">
        <f>F170-IF(F157=1,0,F169*F158/C211)</f>
        <v>228.4908020107738</v>
      </c>
      <c r="G212" s="40">
        <f>G170-IF(G157=1,0,G169*G158/C211)</f>
        <v>263.2059441438551</v>
      </c>
      <c r="H212" s="40">
        <f>H170-IF(H157=1,0,H169*H158/C211)</f>
        <v>298.4717861001299</v>
      </c>
      <c r="I212" s="40">
        <f>I170-IF(I157=1,0,I169*I158/C211)</f>
        <v>334.47227059041796</v>
      </c>
      <c r="J212" s="40">
        <f>J170-IF(J157=1,0,J169*J158/C211)</f>
        <v>371.80218574587815</v>
      </c>
      <c r="K212" s="40">
        <f>K170-IF(K157=1,0,K169*K158/C211)</f>
        <v>273.38512580652036</v>
      </c>
      <c r="L212" s="40">
        <f>L170-IF(L157=1,0,L169*L158/C211)</f>
        <v>278.49137421577177</v>
      </c>
      <c r="M212" s="40">
        <f>M170-IF(M157=1,0,M169*M158/C211)</f>
        <v>283.6997475932082</v>
      </c>
      <c r="N212" s="40">
        <f>N170-IF(N157=1,0,N169*N158/C211)</f>
        <v>289.0122884381933</v>
      </c>
      <c r="O212" s="40">
        <f>O170-IF(O157=1,0,O169*O158/C211)</f>
        <v>294.4310801000782</v>
      </c>
      <c r="P212" s="40">
        <f>P170-IF(P157=1,0,P169*P158/C211)</f>
        <v>299.95824759520076</v>
      </c>
      <c r="Q212" s="40">
        <f>Q170-IF(Q157=1,0,Q169*Q158/C211)</f>
        <v>305.59595844022573</v>
      </c>
      <c r="R212" s="40">
        <f>R170-IF(R157=1,0,R169*R158/C211)</f>
        <v>311.3464235021512</v>
      </c>
    </row>
    <row r="213" spans="1:18">
      <c r="A213" s="7" t="s">
        <v>669</v>
      </c>
      <c r="D213" s="27">
        <f>D212*(1+C210)^(-DCF!D10)</f>
        <v>244.95942536876169</v>
      </c>
      <c r="E213" s="27">
        <f>E212*(1+C210)^(-DCF!E10)</f>
        <v>172.14357374412262</v>
      </c>
      <c r="F213" s="27">
        <f>F212*(1+C210)^(-DCF!F10)</f>
        <v>184.662197736636</v>
      </c>
      <c r="G213" s="27">
        <f>G212*(1+C210)^(-DCF!G10)</f>
        <v>191.2593989245995</v>
      </c>
      <c r="H213" s="27">
        <f>H212*(1+C210)^(-DCF!H10)</f>
        <v>195.03446819202787</v>
      </c>
      <c r="I213" s="27">
        <f>I212*(1+C210)^(-DCF!I10)</f>
        <v>196.53920581653415</v>
      </c>
      <c r="J213" s="27">
        <f>J212*(1+C210)^(-DCF!J10)</f>
        <v>196.43498255190755</v>
      </c>
      <c r="K213" s="27">
        <f>K212*(1+C210)^(-DCF!K10)</f>
        <v>129.86723429904077</v>
      </c>
      <c r="L213" s="27">
        <f>L212*(1+C210)^(-DCF!L10)</f>
        <v>118.96451827107045</v>
      </c>
      <c r="M213" s="27">
        <f>M212*(1+C210)^(-DCF!M10)</f>
        <v>108.9797090046128</v>
      </c>
      <c r="N213" s="27">
        <f>N212*(1+C210)^(-DCF!N10)</f>
        <v>99.82074779297957</v>
      </c>
      <c r="O213" s="27">
        <f>O212*(1+C210)^(-DCF!O10)</f>
        <v>91.43363337068628</v>
      </c>
      <c r="P213" s="27">
        <f>P212*(1+C210)^(-DCF!P10)</f>
        <v>83.76529570911862</v>
      </c>
      <c r="Q213" s="27">
        <f>Q212*(1+C210)^(-DCF!Q10)</f>
        <v>76.74178860403987</v>
      </c>
      <c r="R213" s="27">
        <f>R212*(1+C210)^(-DCF!R10)</f>
        <v>70.29849178922473</v>
      </c>
    </row>
    <row r="214" spans="1:18">
      <c r="A214" s="7" t="s">
        <v>670</v>
      </c>
      <c r="B214" s="9" t="s">
        <v>132</v>
      </c>
      <c r="C214" s="27">
        <f>C181*(1-GTermCfg/C211)/(C210-GTermCfg)*IF(MidYear=1,(1+C210)^0.5,1)</f>
        <v>3634.5386799716803</v>
      </c>
    </row>
    <row r="215" spans="1:18">
      <c r="A215" s="7" t="s">
        <v>574</v>
      </c>
      <c r="B215" s="9" t="s">
        <v>132</v>
      </c>
      <c r="C215" s="27">
        <f>C214*(1+C210)^(-DCF!R9)</f>
        <v>778.0880420051363</v>
      </c>
    </row>
    <row r="216" spans="1:18">
      <c r="A216" s="7" t="s">
        <v>671</v>
      </c>
      <c r="B216" s="9" t="s">
        <v>132</v>
      </c>
      <c r="C216" s="40">
        <f>SUM(D213:R213)+C215</f>
        <v>2938.992713180499</v>
      </c>
    </row>
    <row r="217" spans="1:18">
      <c r="A217" s="7" t="s">
        <v>605</v>
      </c>
      <c r="B217" s="9" t="s">
        <v>132</v>
      </c>
      <c r="C217" s="27">
        <f>C216*(1+C210)^((ValDate-DiscDate)/DaysYr)</f>
        <v>3018.7213497346356</v>
      </c>
    </row>
    <row r="218" spans="1:18">
      <c r="A218" s="7" t="s">
        <v>672</v>
      </c>
      <c r="B218" s="9" t="s">
        <v>132</v>
      </c>
      <c r="C218" s="27">
        <f>C217+BridgeAdj</f>
        <v>239125.0491797346</v>
      </c>
    </row>
    <row r="219" spans="1:18">
      <c r="A219" s="3" t="s">
        <v>673</v>
      </c>
      <c r="B219" s="9" t="s">
        <v>129</v>
      </c>
      <c r="C219" s="56">
        <f>C218*MnToWon/Shares</f>
        <v>8744.426073758972</v>
      </c>
    </row>
    <row r="220" spans="1:18">
      <c r="A220" s="7" t="s">
        <v>599</v>
      </c>
      <c r="C220" s="29">
        <f>C215/C216</f>
        <v>0.26474650260806887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E75B6"/>
  </sheetPr>
  <dimension ref="A1:H15"/>
  <sheetViews>
    <sheetView showGridLines="0" workbookViewId="0"/>
  </sheetViews>
  <sheetFormatPr defaultRowHeight="15"/>
  <cols>
    <col min="1" max="1" width="20.7109375" customWidth="1"/>
    <col min="2" max="2" width="26.7109375" customWidth="1"/>
    <col min="3" max="5" width="12.7109375" customWidth="1"/>
    <col min="6" max="7" width="6.7109375" customWidth="1"/>
    <col min="8" max="8" width="60.7109375" customWidth="1"/>
  </cols>
  <sheetData>
    <row r="1" spans="1:8">
      <c r="A1" s="1" t="s">
        <v>777</v>
      </c>
    </row>
    <row r="2" spans="1:8">
      <c r="A2" s="9" t="s">
        <v>778</v>
      </c>
    </row>
    <row r="4" spans="1:8">
      <c r="A4" s="10" t="s">
        <v>779</v>
      </c>
      <c r="B4" s="10" t="s">
        <v>2</v>
      </c>
      <c r="C4" s="10" t="s">
        <v>780</v>
      </c>
      <c r="D4" s="10" t="s">
        <v>781</v>
      </c>
      <c r="E4" s="10" t="s">
        <v>782</v>
      </c>
      <c r="F4" s="10" t="s">
        <v>783</v>
      </c>
      <c r="G4" s="10" t="s">
        <v>783</v>
      </c>
      <c r="H4" s="10" t="s">
        <v>784</v>
      </c>
    </row>
    <row r="5" spans="1:8">
      <c r="A5" s="7" t="s">
        <v>785</v>
      </c>
      <c r="B5" s="7" t="s">
        <v>786</v>
      </c>
      <c r="C5" s="57">
        <f>MIN(Scenarios!$B$6:$D$6)</f>
        <v>8690.328172529382</v>
      </c>
      <c r="D5" s="57">
        <f>MAX(Scenarios!$B$6:$D$6)</f>
        <v>8702.440593663363</v>
      </c>
      <c r="E5" s="57">
        <f>Scenarios!$B$6</f>
        <v>8702.440593663363</v>
      </c>
      <c r="F5" s="35">
        <f>ROWS(B5:$B$13)</f>
        <v>9.0</v>
      </c>
      <c r="G5" s="35">
        <f>F5</f>
        <v>9.0</v>
      </c>
      <c r="H5" s="9" t="s">
        <v>787</v>
      </c>
    </row>
    <row r="6" spans="1:8">
      <c r="A6" s="7" t="s">
        <v>785</v>
      </c>
      <c r="B6" s="7" t="s">
        <v>788</v>
      </c>
      <c r="C6" s="57">
        <f>MIN(Scenarios!$B$7:$D$7)</f>
        <v>8716.493142480786</v>
      </c>
      <c r="D6" s="57">
        <f>MAX(Scenarios!$B$7:$D$7)</f>
        <v>8733.86445114907</v>
      </c>
      <c r="E6" s="57">
        <f>Scenarios!$B$7</f>
        <v>8733.86445114907</v>
      </c>
      <c r="F6" s="35">
        <f>ROWS(B6:$B$13)</f>
        <v>8.0</v>
      </c>
      <c r="G6" s="35">
        <f>F6</f>
        <v>8.0</v>
      </c>
      <c r="H6" s="9" t="s">
        <v>787</v>
      </c>
    </row>
    <row r="7" spans="1:8">
      <c r="A7" s="7" t="s">
        <v>785</v>
      </c>
      <c r="B7" s="7" t="s">
        <v>789</v>
      </c>
      <c r="C7" s="57">
        <f>MIN(Scenarios!$B$8:$D$8)</f>
        <v>8744.426073758972</v>
      </c>
      <c r="D7" s="57">
        <f>MAX(Scenarios!$B$8:$D$8)</f>
        <v>8767.506543663274</v>
      </c>
      <c r="E7" s="57">
        <f>Scenarios!$B$8</f>
        <v>8767.506543663274</v>
      </c>
      <c r="F7" s="35">
        <f>ROWS(B7:$B$13)</f>
        <v>7.0</v>
      </c>
      <c r="G7" s="35">
        <f>F7</f>
        <v>7.0</v>
      </c>
      <c r="H7" s="9" t="s">
        <v>787</v>
      </c>
    </row>
    <row r="8" spans="1:8">
      <c r="A8" s="7" t="s">
        <v>790</v>
      </c>
      <c r="B8" s="5" t="str">
        <f>"EV/EBITDA (n="&amp;Peers!$C$15&amp;")"</f>
        <v>EV/EBITDA (n=3)</v>
      </c>
      <c r="C8" s="57" t="str">
        <f>Peers!$H$15</f>
        <v>N/M</v>
      </c>
      <c r="D8" s="57" t="str">
        <f>Peers!$J$15</f>
        <v>N/M</v>
      </c>
      <c r="E8" s="57" t="str">
        <f>Peers!$I$15</f>
        <v>N/M</v>
      </c>
      <c r="F8" s="35">
        <f>ROWS(B8:$B$13)</f>
        <v>6.0</v>
      </c>
      <c r="G8" s="35">
        <f>F8</f>
        <v>6.0</v>
      </c>
      <c r="H8" s="9" t="s">
        <v>791</v>
      </c>
    </row>
    <row r="9" spans="1:8">
      <c r="A9" s="7" t="s">
        <v>790</v>
      </c>
      <c r="B9" s="5" t="str">
        <f>"PER (n="&amp;Peers!$C$19&amp;")"</f>
        <v>PER (n=5)</v>
      </c>
      <c r="C9" s="57" t="str">
        <f>Peers!$H$19</f>
        <v>N/M</v>
      </c>
      <c r="D9" s="57" t="str">
        <f>Peers!$J$19</f>
        <v>N/M</v>
      </c>
      <c r="E9" s="57" t="str">
        <f>Peers!$I$19</f>
        <v>N/M</v>
      </c>
      <c r="F9" s="35">
        <f>ROWS(B9:$B$13)</f>
        <v>5.0</v>
      </c>
      <c r="G9" s="35">
        <f>F9</f>
        <v>5.0</v>
      </c>
      <c r="H9" s="9" t="s">
        <v>791</v>
      </c>
    </row>
    <row r="10" spans="1:8">
      <c r="A10" s="7" t="s">
        <v>790</v>
      </c>
      <c r="B10" s="5" t="str">
        <f>"EV/Sales (n="&amp;Peers!$C$17&amp;")"</f>
        <v>EV/Sales (n=3)</v>
      </c>
      <c r="C10" s="57" t="str">
        <f>Peers!$H$17</f>
        <v>N/M</v>
      </c>
      <c r="D10" s="57" t="str">
        <f>Peers!$J$17</f>
        <v>N/M</v>
      </c>
      <c r="E10" s="57" t="str">
        <f>Peers!$I$17</f>
        <v>N/M</v>
      </c>
      <c r="F10" s="35">
        <f>ROWS(B10:$B$13)</f>
        <v>4.0</v>
      </c>
      <c r="G10" s="35">
        <f>F10</f>
        <v>4.0</v>
      </c>
      <c r="H10" s="9" t="s">
        <v>791</v>
      </c>
    </row>
    <row r="11" spans="1:8">
      <c r="A11" s="7" t="s">
        <v>790</v>
      </c>
      <c r="B11" s="5" t="str">
        <f>"PBR (n="&amp;Peers!$C$18&amp;")"</f>
        <v>PBR (n=6)</v>
      </c>
      <c r="C11" s="57">
        <f>Peers!$H$18</f>
        <v>2032.8215647410225</v>
      </c>
      <c r="D11" s="57">
        <f>Peers!$J$18</f>
        <v>4204.203439328847</v>
      </c>
      <c r="E11" s="57">
        <f>Peers!$I$18</f>
        <v>2566.1477972484117</v>
      </c>
      <c r="F11" s="35">
        <f>ROWS(B11:$B$13)</f>
        <v>3.0</v>
      </c>
      <c r="G11" s="35">
        <f>F11</f>
        <v>3.0</v>
      </c>
      <c r="H11" s="9" t="s">
        <v>791</v>
      </c>
    </row>
    <row r="12" spans="1:8">
      <c r="A12" s="7" t="s">
        <v>792</v>
      </c>
      <c r="B12" s="7" t="s">
        <v>793</v>
      </c>
      <c r="C12" s="57">
        <f>Block_q1</f>
        <v>18206.613181500954</v>
      </c>
      <c r="D12" s="57">
        <f>Block_q3</f>
        <v>27034.98457945315</v>
      </c>
      <c r="E12" s="57">
        <f>Block_q2</f>
        <v>21386.951142886155</v>
      </c>
      <c r="F12" s="35">
        <f>ROWS(B12:$B$13)</f>
        <v>2.0</v>
      </c>
      <c r="G12" s="35">
        <f>F12</f>
        <v>2.0</v>
      </c>
      <c r="H12" s="9" t="s">
        <v>794</v>
      </c>
    </row>
    <row r="13" spans="1:8">
      <c r="A13" s="7" t="s">
        <v>795</v>
      </c>
      <c r="B13" s="7" t="s">
        <v>796</v>
      </c>
      <c r="C13" s="57">
        <f>NavPerShare</f>
        <v>4357.63547845778</v>
      </c>
      <c r="D13" s="57">
        <f>NavPerShare</f>
        <v>4357.63547845778</v>
      </c>
      <c r="E13" s="57">
        <f>NavPerShare</f>
        <v>4357.63547845778</v>
      </c>
      <c r="F13" s="35">
        <f>ROWS(B13:$B$13)</f>
        <v>1.0</v>
      </c>
      <c r="G13" s="35">
        <f>F13</f>
        <v>1.0</v>
      </c>
      <c r="H13" s="9" t="s">
        <v>797</v>
      </c>
    </row>
    <row r="15" spans="1:8">
      <c r="B15" s="3" t="s">
        <v>798</v>
      </c>
      <c r="C15" s="57">
        <f>Close</f>
        <v>20000.0</v>
      </c>
      <c r="D15" s="57">
        <f>Close</f>
        <v>20000.0</v>
      </c>
      <c r="E15" s="5" t="str">
        <f>"기준일 종가 "&amp;TEXT(Close,"#,##0")&amp;"원"</f>
        <v>기준일 종가 20,000원</v>
      </c>
      <c r="F15" s="35">
        <v>0</v>
      </c>
      <c r="G15" s="35">
        <f>ROWS(B5:B13)+1</f>
        <v>10.0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2E75B6"/>
  </sheetPr>
  <dimension ref="A1:G17"/>
  <sheetViews>
    <sheetView showGridLines="0" workbookViewId="0"/>
  </sheetViews>
  <sheetFormatPr defaultRowHeight="15"/>
  <cols>
    <col min="1" max="1" width="46.7109375" customWidth="1"/>
    <col min="2" max="4" width="14.7109375" customWidth="1"/>
    <col min="5" max="5" width="8.7109375" customWidth="1"/>
    <col min="6" max="6" width="22.7109375" customWidth="1"/>
    <col min="7" max="7" width="50.7109375" customWidth="1"/>
  </cols>
  <sheetData>
    <row r="1" spans="1:7">
      <c r="A1" s="1" t="s">
        <v>799</v>
      </c>
    </row>
    <row r="2" spans="1:7">
      <c r="A2" s="9" t="s">
        <v>800</v>
      </c>
    </row>
    <row r="4" spans="1:7" ht="45" customHeight="1">
      <c r="A4" s="3" t="s">
        <v>801</v>
      </c>
      <c r="B4" s="4" t="s">
        <v>802</v>
      </c>
    </row>
    <row r="6" spans="1:7">
      <c r="A6" s="10" t="s">
        <v>803</v>
      </c>
      <c r="B6" s="10" t="s">
        <v>804</v>
      </c>
      <c r="C6" s="10" t="s">
        <v>805</v>
      </c>
      <c r="D6" s="10" t="s">
        <v>806</v>
      </c>
      <c r="E6" s="10" t="s">
        <v>297</v>
      </c>
      <c r="F6" s="10" t="s">
        <v>807</v>
      </c>
      <c r="G6" s="10" t="s">
        <v>808</v>
      </c>
    </row>
    <row r="7" spans="1:7">
      <c r="A7" s="7" t="s">
        <v>809</v>
      </c>
      <c r="B7" s="58">
        <v>8733.864451149073</v>
      </c>
      <c r="C7" s="58" t="s">
        <v>695</v>
      </c>
      <c r="D7" s="58" t="s">
        <v>695</v>
      </c>
      <c r="E7" s="19">
        <v>3</v>
      </c>
      <c r="F7" s="17" t="s">
        <v>810</v>
      </c>
      <c r="G7" s="9" t="s">
        <v>811</v>
      </c>
    </row>
    <row r="8" spans="1:7">
      <c r="A8" s="7" t="s">
        <v>812</v>
      </c>
      <c r="B8" s="58">
        <v>8733.864451149073</v>
      </c>
      <c r="C8" s="58" t="s">
        <v>695</v>
      </c>
      <c r="D8" s="58" t="s">
        <v>695</v>
      </c>
      <c r="E8" s="19">
        <v>3</v>
      </c>
      <c r="F8" s="17" t="s">
        <v>810</v>
      </c>
      <c r="G8" s="9" t="s">
        <v>813</v>
      </c>
    </row>
    <row r="9" spans="1:7">
      <c r="A9" s="7" t="s">
        <v>814</v>
      </c>
      <c r="C9" s="58" t="s">
        <v>695</v>
      </c>
      <c r="D9" s="58" t="s">
        <v>695</v>
      </c>
      <c r="E9" s="19">
        <v>3</v>
      </c>
    </row>
    <row r="11" spans="1:7">
      <c r="A11" s="11" t="s">
        <v>815</v>
      </c>
    </row>
    <row r="12" spans="1:7">
      <c r="A12" s="10" t="s">
        <v>2</v>
      </c>
      <c r="B12" s="10" t="s">
        <v>804</v>
      </c>
      <c r="C12" s="10" t="s">
        <v>805</v>
      </c>
      <c r="D12" s="10" t="s">
        <v>806</v>
      </c>
      <c r="E12" s="10" t="s">
        <v>297</v>
      </c>
      <c r="F12" s="10" t="s">
        <v>807</v>
      </c>
    </row>
    <row r="13" spans="1:7">
      <c r="A13" s="7" t="s">
        <v>816</v>
      </c>
      <c r="B13" s="57">
        <f>INDEX(ScenGridPS,MATCH("기본",ScenNames,0),1)</f>
        <v>8733.86445114907</v>
      </c>
      <c r="C13" s="57" t="str">
        <f>Peers!$H$15</f>
        <v>N/M</v>
      </c>
      <c r="D13" s="57" t="str">
        <f>Peers!$J$15</f>
        <v>N/M</v>
      </c>
      <c r="E13" s="34">
        <f>Peers!$C$15</f>
        <v>3.0</v>
      </c>
      <c r="F13" s="7" t="str">
        <f>IF(COUNT(C13,D13)&lt;2,"판정 불가(대상 지표 ≤ 0)",IF(AND(B13&gt;=C13,B13&lt;=D13),"수렴","미수렴 → 원인 분해"))</f>
        <v>판정 불가(대상 지표 ≤ 0)</v>
      </c>
    </row>
    <row r="14" spans="1:7">
      <c r="A14" s="7" t="s">
        <v>817</v>
      </c>
      <c r="B14" s="57">
        <f>INDEX(ScenGridPS,MATCH("기본",ScenNames,0),1)</f>
        <v>8733.86445114907</v>
      </c>
      <c r="C14" s="57" t="str">
        <f>Peers!$H$16</f>
        <v>N/M</v>
      </c>
      <c r="D14" s="57" t="str">
        <f>Peers!$J$16</f>
        <v>N/M</v>
      </c>
      <c r="E14" s="34">
        <f>Peers!$C$16</f>
        <v>3.0</v>
      </c>
      <c r="F14" s="7" t="str">
        <f>IF(COUNT(C14,D14)&lt;2,"판정 불가(대상 지표 ≤ 0)",IF(AND(B14&gt;=C14,B14&lt;=D14),"수렴","미수렴 → 원인 분해"))</f>
        <v>판정 불가(대상 지표 ≤ 0)</v>
      </c>
    </row>
    <row r="16" spans="1:7">
      <c r="A16" s="7" t="s">
        <v>818</v>
      </c>
      <c r="B16" s="57" t="str">
        <f>IFERROR(IF(Convergence!$B$13&gt;Convergence!$D$13,Convergence!$B$13-Convergence!$D$13,IF(Convergence!$B$13&lt;Convergence!$C$13,Convergence!$B$13-Convergence!$C$13,0)),"N/M")</f>
        <v>N/M</v>
      </c>
    </row>
    <row r="17" spans="1:2">
      <c r="A17" s="7" t="s">
        <v>819</v>
      </c>
      <c r="B17" s="28">
        <f>Convergence!$B$13/Close-1</f>
        <v>-0.5633067774425465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C00000"/>
  </sheetPr>
  <dimension ref="A1:G74"/>
  <sheetViews>
    <sheetView showGridLines="0" workbookViewId="0"/>
  </sheetViews>
  <sheetFormatPr defaultRowHeight="15"/>
  <cols>
    <col min="1" max="1" width="5.7109375" customWidth="1"/>
    <col min="2" max="2" width="56.7109375" customWidth="1"/>
    <col min="3" max="3" width="9.7109375" customWidth="1"/>
    <col min="4" max="5" width="16.7109375" customWidth="1"/>
    <col min="6" max="6" width="8.7109375" customWidth="1"/>
    <col min="7" max="7" width="50.7109375" customWidth="1"/>
  </cols>
  <sheetData>
    <row r="1" spans="1:7">
      <c r="A1" s="1" t="s">
        <v>820</v>
      </c>
    </row>
    <row r="2" spans="1:7">
      <c r="A2" s="9" t="s">
        <v>821</v>
      </c>
    </row>
    <row r="3" spans="1:7">
      <c r="B3" s="3" t="s">
        <v>967</v>
      </c>
      <c r="C3" s="3" t="str">
        <f>IF(AND(COUNTIF($C$6:$C$74,"ERR")=0,SUMPRODUCT(ISERROR($C$6:$E$74)*1)=0),"OK","ERR")</f>
        <v>OK</v>
      </c>
      <c r="D3" s="7" t="str">
        <f>"ERR "&amp;COUNTIF($C$6:$C$74,"ERR")&amp;" / WARN "&amp;COUNTIF($C$6:$C$74,"WARN")&amp;" / INFO 차이 "&amp;COUNTIF($C$6:$C$74,"DIFF")&amp;IF(SUMPRODUCT(ISERROR($C$6:$E$74)*1)&gt;0," / 수식 오류 "&amp;SUMPRODUCT(ISERROR($C$6:$E$74)*1),"")</f>
        <v>ERR 0 / WARN 3 / INFO 차이 0</v>
      </c>
    </row>
    <row r="5" spans="1:7">
      <c r="A5" s="10" t="s">
        <v>822</v>
      </c>
      <c r="B5" s="10" t="s">
        <v>2</v>
      </c>
      <c r="C5" s="10" t="s">
        <v>7</v>
      </c>
      <c r="D5" s="10" t="s">
        <v>3</v>
      </c>
      <c r="E5" s="10" t="s">
        <v>823</v>
      </c>
      <c r="F5" s="10" t="s">
        <v>824</v>
      </c>
      <c r="G5" s="10" t="s">
        <v>825</v>
      </c>
    </row>
    <row r="6" spans="1:7">
      <c r="A6" s="7" t="s">
        <v>242</v>
      </c>
      <c r="B6" s="7" t="s">
        <v>826</v>
      </c>
      <c r="C6" s="6" t="str">
        <f>IF(COUNTIFS(BsClass,"non_operating",BsName,"*종속*")=0,"OK","ERR")</f>
        <v>OK</v>
      </c>
      <c r="D6" s="5">
        <f>SotpSubLines</f>
        <v>70894.005697</v>
      </c>
      <c r="E6" s="5">
        <f>SotpBook</f>
        <v>51166.0</v>
      </c>
      <c r="F6" s="7" t="s">
        <v>827</v>
      </c>
    </row>
    <row r="7" spans="1:7">
      <c r="A7" s="7" t="s">
        <v>244</v>
      </c>
      <c r="B7" s="7" t="s">
        <v>828</v>
      </c>
      <c r="C7" s="6" t="str">
        <f>IF(SotpBook&lt;=SotpSubLines*1.02+0.01,"OK","WARN")</f>
        <v>OK</v>
      </c>
      <c r="D7" s="5">
        <f>SotpBook</f>
        <v>51166.0</v>
      </c>
      <c r="E7" s="5">
        <f>SotpSubLines</f>
        <v>70894.005697</v>
      </c>
      <c r="F7" s="7" t="s">
        <v>829</v>
      </c>
      <c r="G7" s="9" t="s">
        <v>830</v>
      </c>
    </row>
    <row r="8" spans="1:7">
      <c r="A8" s="7" t="s">
        <v>246</v>
      </c>
      <c r="B8" s="7" t="s">
        <v>831</v>
      </c>
      <c r="C8" s="6" t="str">
        <f>IF(ABS(SotpListed-SUMPRODUCT(SubShares,SubClose,SubListedDirect)/MnToWon)&lt;0.001,"OK","ERR")</f>
        <v>OK</v>
      </c>
      <c r="D8" s="5">
        <f>SotpListed</f>
        <v>142764.0</v>
      </c>
      <c r="F8" s="7" t="s">
        <v>827</v>
      </c>
    </row>
    <row r="9" spans="1:7">
      <c r="A9" s="7" t="s">
        <v>248</v>
      </c>
      <c r="B9" s="7" t="s">
        <v>832</v>
      </c>
      <c r="C9" s="6" t="str">
        <f>IF(ABS(AssocValue-SUMPRODUCT(AssocShares,AssocClose)/MnToWon*(1-AssocDiscount))&lt;0.001,"OK","ERR")</f>
        <v>OK</v>
      </c>
      <c r="D9" s="5">
        <f>AssocValue</f>
        <v>51936.0</v>
      </c>
      <c r="F9" s="7" t="s">
        <v>827</v>
      </c>
    </row>
    <row r="10" spans="1:7">
      <c r="A10" s="7" t="s">
        <v>250</v>
      </c>
      <c r="B10" s="7" t="s">
        <v>833</v>
      </c>
      <c r="C10" s="6" t="str">
        <f>IF(AND(AssocReplaced&lt;=SUM(AssocBook)+0.001,AssocReplaced&lt;=MAX(AssocLines,SotpRemainder)+0.001),"OK","ERR")</f>
        <v>OK</v>
      </c>
      <c r="D10" s="5">
        <f>AssocReplaced</f>
        <v>12262.0</v>
      </c>
      <c r="E10" s="5">
        <f>AssocLines</f>
        <v>13228.925353</v>
      </c>
      <c r="F10" s="7" t="s">
        <v>827</v>
      </c>
    </row>
    <row r="11" spans="1:7">
      <c r="A11" s="7" t="s">
        <v>252</v>
      </c>
      <c r="B11" s="7" t="s">
        <v>834</v>
      </c>
      <c r="C11" s="6" t="str">
        <f>IF(ABS(Equity-(EV_930-NetDebt+Bridge!$C$9-Bridge!$C$20))&lt;0.001,"OK","ERR")</f>
        <v>OK</v>
      </c>
      <c r="D11" s="5">
        <f>Equity</f>
        <v>238836.23107952913</v>
      </c>
      <c r="F11" s="7" t="s">
        <v>827</v>
      </c>
    </row>
    <row r="12" spans="1:7">
      <c r="A12" s="7" t="s">
        <v>254</v>
      </c>
      <c r="B12" s="7" t="s">
        <v>613</v>
      </c>
      <c r="C12" s="6" t="str">
        <f>IF(ABS(NetDebt-(Bridge!$C$5+Bridge!$C$6-Bridge!$C$7))&lt;0.001,"OK","ERR")</f>
        <v>OK</v>
      </c>
      <c r="D12" s="5">
        <f>NetDebt</f>
        <v>-1055.990933</v>
      </c>
      <c r="F12" s="7" t="s">
        <v>827</v>
      </c>
    </row>
    <row r="13" spans="1:7">
      <c r="A13" s="7" t="s">
        <v>256</v>
      </c>
      <c r="B13" s="7" t="s">
        <v>835</v>
      </c>
      <c r="C13" s="6" t="str">
        <f>IF(ABS(PerShare*Shares/MnToWon-BridgeAdj-EV_930)&lt;0.01,"OK","ERR")</f>
        <v>OK</v>
      </c>
      <c r="D13" s="5">
        <f>PerShare*Shares/MnToWon-BridgeAdj</f>
        <v>2729.903249529132</v>
      </c>
      <c r="E13" s="5">
        <f>EV_930</f>
        <v>2729.90324952916</v>
      </c>
      <c r="F13" s="7" t="s">
        <v>827</v>
      </c>
    </row>
    <row r="14" spans="1:7">
      <c r="A14" s="7" t="s">
        <v>258</v>
      </c>
      <c r="B14" s="7" t="s">
        <v>836</v>
      </c>
      <c r="C14" s="6" t="str">
        <f>IF(ABS(ScenSelPS-PerShare)&lt;0.5,"OK","ERR")</f>
        <v>OK</v>
      </c>
      <c r="D14" s="5">
        <f>ScenSelPS</f>
        <v>8733.86445114907</v>
      </c>
      <c r="E14" s="5">
        <f>PerShare</f>
        <v>8733.86445114907</v>
      </c>
      <c r="F14" s="7" t="s">
        <v>827</v>
      </c>
    </row>
    <row r="15" spans="1:7">
      <c r="A15" s="7" t="s">
        <v>260</v>
      </c>
      <c r="B15" s="7" t="s">
        <v>837</v>
      </c>
      <c r="C15" s="6" t="str">
        <f>IF(MIN(Scenarios!$B$12:$D$14)&gt;MAX(GTermCfg),"OK","ERR")</f>
        <v>OK</v>
      </c>
      <c r="D15" s="5">
        <f>MIN(Scenarios!$B$12:$D$14)</f>
        <v>0.09212124321403853</v>
      </c>
      <c r="E15" s="5">
        <f>MAX(GTermCfg)</f>
        <v>0.02</v>
      </c>
      <c r="F15" s="7" t="s">
        <v>827</v>
      </c>
    </row>
    <row r="16" spans="1:7">
      <c r="A16" s="7" t="s">
        <v>262</v>
      </c>
      <c r="B16" s="7" t="s">
        <v>838</v>
      </c>
      <c r="C16" s="6" t="str">
        <f>IF(StructureRule=StructureChoice,"OK","ERR")</f>
        <v>OK</v>
      </c>
      <c r="D16" s="5" t="str">
        <f>StructureRule</f>
        <v>consolidated</v>
      </c>
      <c r="E16" s="5" t="str">
        <f>StructureChoice</f>
        <v>consolidated</v>
      </c>
      <c r="F16" s="7" t="s">
        <v>827</v>
      </c>
    </row>
    <row r="17" spans="1:7">
      <c r="A17" s="7" t="s">
        <v>839</v>
      </c>
      <c r="B17" s="7" t="s">
        <v>840</v>
      </c>
      <c r="C17" s="6" t="str">
        <f>IF(AND(Inputs!$B$98=0,Inputs!$B$99=Inputs!$C$98,Inputs!$B$100=Inputs!$C$99,Inputs!$B$101=Inputs!$C$100,ISBLANK(Inputs!$C$101)),"OK","ERR")</f>
        <v>OK</v>
      </c>
      <c r="F17" s="7" t="s">
        <v>827</v>
      </c>
    </row>
    <row r="18" spans="1:7">
      <c r="A18" s="7" t="s">
        <v>841</v>
      </c>
      <c r="B18" s="7" t="s">
        <v>842</v>
      </c>
      <c r="C18" s="6" t="str">
        <f>IF(ISNUMBER(ScenIdx),"OK","ERR")</f>
        <v>OK</v>
      </c>
      <c r="D18" s="5" t="str">
        <f>ScenSel</f>
        <v>기본</v>
      </c>
      <c r="F18" s="7" t="s">
        <v>827</v>
      </c>
    </row>
    <row r="19" spans="1:7">
      <c r="A19" s="7" t="s">
        <v>843</v>
      </c>
      <c r="B19" s="7" t="s">
        <v>844</v>
      </c>
      <c r="C19" s="6" t="str">
        <f>IF(ISNUMBER(MATCH(SRP_Sel,SRP_List,0)),"OK","ERR")</f>
        <v>OK</v>
      </c>
      <c r="D19" s="5">
        <f>SRP_Sel</f>
        <v>0.0</v>
      </c>
      <c r="F19" s="7" t="s">
        <v>827</v>
      </c>
    </row>
    <row r="20" spans="1:7">
      <c r="A20" s="7" t="s">
        <v>845</v>
      </c>
      <c r="B20" s="7" t="s">
        <v>846</v>
      </c>
      <c r="C20" s="6" t="str">
        <f>IF(Forecast!$R$49=ExplicitEnd+FadeYears,"OK","ERR")</f>
        <v>OK</v>
      </c>
      <c r="D20" s="5">
        <f>Forecast!$R$49</f>
        <v>2040.0</v>
      </c>
      <c r="E20" s="5">
        <f>ExplicitEnd+FadeYears</f>
        <v>2040.0</v>
      </c>
      <c r="F20" s="7" t="s">
        <v>827</v>
      </c>
    </row>
    <row r="21" spans="1:7">
      <c r="A21" s="7" t="s">
        <v>847</v>
      </c>
      <c r="B21" s="7" t="s">
        <v>848</v>
      </c>
      <c r="C21" s="6" t="str">
        <f>IF(ABS(Forecast!$R$55-GTerm_Sel)&lt;1E-12,"OK","ERR")</f>
        <v>OK</v>
      </c>
      <c r="D21" s="5">
        <f>Forecast!$R$55</f>
        <v>0.02</v>
      </c>
      <c r="E21" s="5">
        <f>GTerm_Sel</f>
        <v>0.02</v>
      </c>
      <c r="F21" s="7" t="s">
        <v>827</v>
      </c>
    </row>
    <row r="22" spans="1:7">
      <c r="A22" s="7" t="s">
        <v>849</v>
      </c>
      <c r="B22" s="7" t="s">
        <v>850</v>
      </c>
      <c r="C22" s="6" t="str">
        <f>IF(Forecast!$D$49=YEAR(CfStart),"OK","ERR")</f>
        <v>OK</v>
      </c>
      <c r="F22" s="7" t="s">
        <v>827</v>
      </c>
    </row>
    <row r="23" spans="1:7">
      <c r="A23" s="7" t="s">
        <v>851</v>
      </c>
      <c r="B23" s="7" t="s">
        <v>852</v>
      </c>
      <c r="C23" s="6" t="str">
        <f>IF(Shares&gt;0,"OK","ERR")</f>
        <v>OK</v>
      </c>
      <c r="D23" s="5">
        <f>Shares</f>
        <v>27345997.0</v>
      </c>
      <c r="F23" s="7" t="s">
        <v>827</v>
      </c>
    </row>
    <row r="24" spans="1:7">
      <c r="A24" s="7" t="s">
        <v>853</v>
      </c>
      <c r="B24" s="7" t="s">
        <v>854</v>
      </c>
      <c r="C24" s="6" t="str">
        <f>IF(AND(MarketEquity/(Close*Shares/MnToWon)&gt;0.5,MarketEquity/(Close*Shares/MnToWon)&lt;2),"OK","ERR")</f>
        <v>OK</v>
      </c>
      <c r="D24" s="5">
        <f>MarketEquity/(Close*Shares/MnToWon)</f>
        <v>1.0</v>
      </c>
      <c r="E24" s="7" t="s">
        <v>242</v>
      </c>
      <c r="F24" s="7" t="s">
        <v>827</v>
      </c>
      <c r="G24" s="9" t="s">
        <v>855</v>
      </c>
    </row>
    <row r="25" spans="1:7">
      <c r="A25" s="7" t="s">
        <v>856</v>
      </c>
      <c r="B25" s="7" t="s">
        <v>857</v>
      </c>
      <c r="C25" s="6" t="str">
        <f>IF(SUMPRODUCT(ISERROR(Cover!$A$1:$B$2)*1)=0,"OK","ERR")</f>
        <v>OK</v>
      </c>
      <c r="D25" s="5">
        <f>SUMPRODUCT(ISERROR(Cover!$A$1:$B$2)*1)</f>
        <v>0.0</v>
      </c>
      <c r="E25" s="7" t="s">
        <v>858</v>
      </c>
      <c r="F25" s="7" t="s">
        <v>827</v>
      </c>
      <c r="G25" s="9" t="s">
        <v>859</v>
      </c>
    </row>
    <row r="26" spans="1:7">
      <c r="A26" s="7" t="s">
        <v>860</v>
      </c>
      <c r="B26" s="7" t="s">
        <v>861</v>
      </c>
      <c r="C26" s="6" t="str">
        <f>IF(SUMPRODUCT(ISERROR(Forecast!$A$1:$R$95)*1)=0,"OK","ERR")</f>
        <v>OK</v>
      </c>
      <c r="D26" s="5">
        <f>SUMPRODUCT(ISERROR(Forecast!$A$1:$R$95)*1)</f>
        <v>0.0</v>
      </c>
      <c r="E26" s="7" t="s">
        <v>858</v>
      </c>
      <c r="F26" s="7" t="s">
        <v>827</v>
      </c>
      <c r="G26" s="9" t="s">
        <v>859</v>
      </c>
    </row>
    <row r="27" spans="1:7">
      <c r="A27" s="7" t="s">
        <v>862</v>
      </c>
      <c r="B27" s="7" t="s">
        <v>863</v>
      </c>
      <c r="C27" s="6" t="str">
        <f>IF(SUMPRODUCT(ISERROR(WACC!$A$1:$E$33)*1)=0,"OK","ERR")</f>
        <v>OK</v>
      </c>
      <c r="D27" s="5">
        <f>SUMPRODUCT(ISERROR(WACC!$A$1:$E$33)*1)</f>
        <v>0.0</v>
      </c>
      <c r="E27" s="7" t="s">
        <v>858</v>
      </c>
      <c r="F27" s="7" t="s">
        <v>827</v>
      </c>
      <c r="G27" s="9" t="s">
        <v>859</v>
      </c>
    </row>
    <row r="28" spans="1:7">
      <c r="A28" s="7" t="s">
        <v>864</v>
      </c>
      <c r="B28" s="7" t="s">
        <v>865</v>
      </c>
      <c r="C28" s="6" t="str">
        <f>IF(SUMPRODUCT(ISERROR(DCF!$A$1:$R$59)*1)=0,"OK","ERR")</f>
        <v>OK</v>
      </c>
      <c r="D28" s="5">
        <f>SUMPRODUCT(ISERROR(DCF!$A$1:$R$59)*1)</f>
        <v>0.0</v>
      </c>
      <c r="E28" s="7" t="s">
        <v>858</v>
      </c>
      <c r="F28" s="7" t="s">
        <v>827</v>
      </c>
      <c r="G28" s="9" t="s">
        <v>859</v>
      </c>
    </row>
    <row r="29" spans="1:7">
      <c r="A29" s="7" t="s">
        <v>866</v>
      </c>
      <c r="B29" s="7" t="s">
        <v>867</v>
      </c>
      <c r="C29" s="6" t="str">
        <f>IF(SUMPRODUCT(ISERROR(Bridge!$A$1:$D$37)*1)=0,"OK","ERR")</f>
        <v>OK</v>
      </c>
      <c r="D29" s="5">
        <f>SUMPRODUCT(ISERROR(Bridge!$A$1:$D$37)*1)</f>
        <v>0.0</v>
      </c>
      <c r="E29" s="7" t="s">
        <v>858</v>
      </c>
      <c r="F29" s="7" t="s">
        <v>827</v>
      </c>
      <c r="G29" s="9" t="s">
        <v>859</v>
      </c>
    </row>
    <row r="30" spans="1:7">
      <c r="A30" s="7" t="s">
        <v>868</v>
      </c>
      <c r="B30" s="7" t="s">
        <v>869</v>
      </c>
      <c r="C30" s="6" t="str">
        <f>IF(SUMPRODUCT(ISERROR(Peers!$A$1:$N$20)*1)=0,"OK","ERR")</f>
        <v>OK</v>
      </c>
      <c r="D30" s="5">
        <f>SUMPRODUCT(ISERROR(Peers!$A$1:$N$20)*1)</f>
        <v>0.0</v>
      </c>
      <c r="E30" s="7" t="s">
        <v>858</v>
      </c>
      <c r="F30" s="7" t="s">
        <v>827</v>
      </c>
      <c r="G30" s="9" t="s">
        <v>859</v>
      </c>
    </row>
    <row r="31" spans="1:7">
      <c r="A31" s="7" t="s">
        <v>870</v>
      </c>
      <c r="B31" s="7" t="s">
        <v>871</v>
      </c>
      <c r="C31" s="6" t="str">
        <f>IF(SUMPRODUCT(ISERROR(Premium!$A$1:$F$33)*1)=0,"OK","ERR")</f>
        <v>OK</v>
      </c>
      <c r="D31" s="5">
        <f>SUMPRODUCT(ISERROR(Premium!$A$1:$F$33)*1)</f>
        <v>0.0</v>
      </c>
      <c r="E31" s="7" t="s">
        <v>858</v>
      </c>
      <c r="F31" s="7" t="s">
        <v>827</v>
      </c>
      <c r="G31" s="9" t="s">
        <v>859</v>
      </c>
    </row>
    <row r="32" spans="1:7">
      <c r="A32" s="7" t="s">
        <v>872</v>
      </c>
      <c r="B32" s="7" t="s">
        <v>873</v>
      </c>
      <c r="C32" s="6" t="str">
        <f>IF(SUMPRODUCT(ISERROR(Scenarios!$A$1:$T$138)*1)=0,"OK","ERR")</f>
        <v>OK</v>
      </c>
      <c r="D32" s="5">
        <f>SUMPRODUCT(ISERROR(Scenarios!$A$1:$T$138)*1)</f>
        <v>0.0</v>
      </c>
      <c r="E32" s="7" t="s">
        <v>858</v>
      </c>
      <c r="F32" s="7" t="s">
        <v>827</v>
      </c>
      <c r="G32" s="9" t="s">
        <v>859</v>
      </c>
    </row>
    <row r="33" spans="1:7">
      <c r="A33" s="7" t="s">
        <v>874</v>
      </c>
      <c r="B33" s="7" t="s">
        <v>875</v>
      </c>
      <c r="C33" s="6" t="str">
        <f>IF(SUMPRODUCT(ISERROR(Scen_Calc!$A$1:$R$220)*1)=0,"OK","ERR")</f>
        <v>OK</v>
      </c>
      <c r="D33" s="5">
        <f>SUMPRODUCT(ISERROR(Scen_Calc!$A$1:$R$220)*1)</f>
        <v>0.0</v>
      </c>
      <c r="E33" s="7" t="s">
        <v>858</v>
      </c>
      <c r="F33" s="7" t="s">
        <v>827</v>
      </c>
      <c r="G33" s="9" t="s">
        <v>859</v>
      </c>
    </row>
    <row r="34" spans="1:7">
      <c r="A34" s="7" t="s">
        <v>876</v>
      </c>
      <c r="B34" s="7" t="s">
        <v>877</v>
      </c>
      <c r="C34" s="6" t="str">
        <f>IF(SUMPRODUCT(ISERROR(Football!$A$1:$H$15)*1)=0,"OK","ERR")</f>
        <v>OK</v>
      </c>
      <c r="D34" s="5">
        <f>SUMPRODUCT(ISERROR(Football!$A$1:$H$15)*1)</f>
        <v>0.0</v>
      </c>
      <c r="E34" s="7" t="s">
        <v>858</v>
      </c>
      <c r="F34" s="7" t="s">
        <v>827</v>
      </c>
      <c r="G34" s="9" t="s">
        <v>859</v>
      </c>
    </row>
    <row r="35" spans="1:7">
      <c r="A35" s="7" t="s">
        <v>878</v>
      </c>
      <c r="B35" s="7" t="s">
        <v>879</v>
      </c>
      <c r="C35" s="6" t="str">
        <f>IF(SUMPRODUCT(ISERROR(Convergence!$A$1:$G$17)*1)=0,"OK","ERR")</f>
        <v>OK</v>
      </c>
      <c r="D35" s="5">
        <f>SUMPRODUCT(ISERROR(Convergence!$A$1:$G$17)*1)</f>
        <v>0.0</v>
      </c>
      <c r="E35" s="7" t="s">
        <v>858</v>
      </c>
      <c r="F35" s="7" t="s">
        <v>827</v>
      </c>
      <c r="G35" s="9" t="s">
        <v>859</v>
      </c>
    </row>
    <row r="36" spans="1:7">
      <c r="A36" s="7" t="s">
        <v>880</v>
      </c>
      <c r="B36" s="7" t="s">
        <v>881</v>
      </c>
      <c r="C36" s="6" t="str">
        <f>IF(Peers!$C$17&gt;=PeerNWarn,"OK","WARN")</f>
        <v>WARN</v>
      </c>
      <c r="D36" s="5">
        <f>Peers!$C$17</f>
        <v>3.0</v>
      </c>
      <c r="E36" s="5">
        <f>PeerNWarn</f>
        <v>5.0</v>
      </c>
      <c r="F36" s="7" t="s">
        <v>829</v>
      </c>
    </row>
    <row r="37" spans="1:7">
      <c r="A37" s="7" t="s">
        <v>882</v>
      </c>
      <c r="B37" s="7" t="s">
        <v>883</v>
      </c>
      <c r="C37" s="6" t="str">
        <f>IF(Peers!$C$15&gt;=PeerNWarn,"OK","WARN")</f>
        <v>WARN</v>
      </c>
      <c r="D37" s="5">
        <f>Peers!$C$15</f>
        <v>3.0</v>
      </c>
      <c r="E37" s="5">
        <f>PeerNWarn</f>
        <v>5.0</v>
      </c>
      <c r="F37" s="7" t="s">
        <v>829</v>
      </c>
    </row>
    <row r="38" spans="1:7">
      <c r="A38" s="7" t="s">
        <v>884</v>
      </c>
      <c r="B38" s="7" t="s">
        <v>885</v>
      </c>
      <c r="C38" s="6" t="str">
        <f>IF(Peers!$C$19&gt;=PeerNWarn,"OK","WARN")</f>
        <v>OK</v>
      </c>
      <c r="D38" s="5">
        <f>Peers!$C$19</f>
        <v>5.0</v>
      </c>
      <c r="E38" s="5">
        <f>PeerNWarn</f>
        <v>5.0</v>
      </c>
      <c r="F38" s="7" t="s">
        <v>829</v>
      </c>
    </row>
    <row r="39" spans="1:7">
      <c r="A39" s="7" t="s">
        <v>886</v>
      </c>
      <c r="B39" s="7" t="s">
        <v>887</v>
      </c>
      <c r="C39" s="6" t="str">
        <f>IF(Peers!$C$18&gt;=PeerNWarn,"OK","WARN")</f>
        <v>OK</v>
      </c>
      <c r="D39" s="5">
        <f>Peers!$C$18</f>
        <v>6.0</v>
      </c>
      <c r="E39" s="5">
        <f>PeerNWarn</f>
        <v>5.0</v>
      </c>
      <c r="F39" s="7" t="s">
        <v>829</v>
      </c>
    </row>
    <row r="40" spans="1:7">
      <c r="A40" s="7" t="s">
        <v>888</v>
      </c>
      <c r="B40" s="7" t="s">
        <v>889</v>
      </c>
      <c r="C40" s="6" t="str">
        <f>IF(NOT(ISNUMBER(BetaR2Median)),"WARN",IF(BetaR2Median&gt;=BetaR2Warn,"OK","WARN"))</f>
        <v>OK</v>
      </c>
      <c r="D40" s="5">
        <f>BetaR2Median</f>
        <v>0.15</v>
      </c>
      <c r="E40" s="5">
        <f>BetaR2Warn</f>
        <v>0.1</v>
      </c>
      <c r="F40" s="7" t="s">
        <v>829</v>
      </c>
      <c r="G40" s="9" t="s">
        <v>118</v>
      </c>
    </row>
    <row r="41" spans="1:7">
      <c r="A41" s="7" t="s">
        <v>890</v>
      </c>
      <c r="B41" s="7" t="s">
        <v>891</v>
      </c>
      <c r="C41" s="6" t="str">
        <f>IF(DCF!$C$25="계산값 사용","OK","WARN")</f>
        <v>WARN</v>
      </c>
      <c r="D41" s="5">
        <f>RONIC</f>
        <v>0.09212124321403853</v>
      </c>
      <c r="F41" s="7" t="s">
        <v>829</v>
      </c>
    </row>
    <row r="42" spans="1:7">
      <c r="A42" s="7" t="s">
        <v>892</v>
      </c>
      <c r="B42" s="7" t="s">
        <v>893</v>
      </c>
      <c r="C42" s="6" t="str">
        <f>IF(OR(PremN="회귀",N(PremN)&gt;=PremNWarn),"OK","WARN")</f>
        <v>OK</v>
      </c>
      <c r="D42" s="5" t="str">
        <f>PremN</f>
        <v>회귀</v>
      </c>
      <c r="E42" s="5">
        <f>PremNWarn</f>
        <v>10.0</v>
      </c>
      <c r="F42" s="7" t="s">
        <v>829</v>
      </c>
    </row>
    <row r="43" spans="1:7">
      <c r="A43" s="7" t="s">
        <v>894</v>
      </c>
      <c r="B43" s="7" t="s">
        <v>895</v>
      </c>
      <c r="C43" s="6" t="str">
        <f>IF(RfTenor&lt;&gt;5,"N/A",IF(AND(ISNUMBER(PerShare),ISNUMBER(INDEX(Scenarios!$B$32:$D$34,ScenIdx,MATCH(SRP_Sel,SRP_List,0)))),IF(ABS(PerShare-INDEX(Scenarios!$B$32:$D$34,ScenIdx,MATCH(SRP_Sel,SRP_List,0)))&lt;=1,"OK","DIFF"),IF(AND(NOT(ISNUMBER(PerShare)),NOT(ISNUMBER(INDEX(Scenarios!$B$32:$D$34,ScenIdx,MATCH(SRP_Sel,SRP_List,0))))),"N/M","DIFF")))</f>
        <v>OK</v>
      </c>
      <c r="D43" s="5">
        <f>PerShare</f>
        <v>8733.86445114907</v>
      </c>
      <c r="E43" s="5">
        <f>INDEX(Scenarios!$B$32:$D$34,ScenIdx,MATCH(SRP_Sel,SRP_List,0))</f>
        <v>8733.864451149073</v>
      </c>
      <c r="F43" s="7" t="s">
        <v>896</v>
      </c>
      <c r="G43" s="9" t="s">
        <v>897</v>
      </c>
    </row>
    <row r="44" spans="1:7">
      <c r="A44" s="7" t="s">
        <v>898</v>
      </c>
      <c r="B44" s="7" t="s">
        <v>899</v>
      </c>
      <c r="C44" s="6" t="str">
        <f>IF(RfTenor&lt;&gt;5,"N/A",IF(AND(ISNUMBER(WACC),ISNUMBER(INDEX(Scenarios!$B$37:$D$39,ScenIdx,MATCH(SRP_Sel,SRP_List,0)))),IF(ABS(WACC-INDEX(Scenarios!$B$37:$D$39,ScenIdx,MATCH(SRP_Sel,SRP_List,0)))&lt;=1e-06,"OK","DIFF"),IF(AND(NOT(ISNUMBER(WACC)),NOT(ISNUMBER(INDEX(Scenarios!$B$37:$D$39,ScenIdx,MATCH(SRP_Sel,SRP_List,0))))),"N/M","DIFF")))</f>
        <v>OK</v>
      </c>
      <c r="D44" s="5">
        <f>WACC</f>
        <v>0.09212124321403853</v>
      </c>
      <c r="E44" s="5">
        <f>INDEX(Scenarios!$B$37:$D$39,ScenIdx,MATCH(SRP_Sel,SRP_List,0))</f>
        <v>0.092121243214039</v>
      </c>
      <c r="F44" s="7" t="s">
        <v>896</v>
      </c>
      <c r="G44" s="9" t="s">
        <v>900</v>
      </c>
    </row>
    <row r="45" spans="1:7">
      <c r="A45" s="7" t="s">
        <v>901</v>
      </c>
      <c r="B45" s="7" t="s">
        <v>902</v>
      </c>
      <c r="C45" s="6" t="str">
        <f>IF(RfTenor&lt;&gt;5,"N/A",IF(AND(ISNUMBER(RONIC),ISNUMBER(INDEX(Scenarios!$B$42:$D$44,ScenIdx,MATCH(SRP_Sel,SRP_List,0)))),IF(ABS(RONIC-INDEX(Scenarios!$B$42:$D$44,ScenIdx,MATCH(SRP_Sel,SRP_List,0)))&lt;=1e-06,"OK","DIFF"),IF(AND(NOT(ISNUMBER(RONIC)),NOT(ISNUMBER(INDEX(Scenarios!$B$42:$D$44,ScenIdx,MATCH(SRP_Sel,SRP_List,0))))),"N/M","DIFF")))</f>
        <v>OK</v>
      </c>
      <c r="D45" s="5">
        <f>RONIC</f>
        <v>0.09212124321403853</v>
      </c>
      <c r="E45" s="5">
        <f>INDEX(Scenarios!$B$42:$D$44,ScenIdx,MATCH(SRP_Sel,SRP_List,0))</f>
        <v>0.092121243214039</v>
      </c>
      <c r="F45" s="7" t="s">
        <v>896</v>
      </c>
      <c r="G45" s="9" t="s">
        <v>900</v>
      </c>
    </row>
    <row r="46" spans="1:7">
      <c r="A46" s="7" t="s">
        <v>903</v>
      </c>
      <c r="B46" s="7" t="s">
        <v>904</v>
      </c>
      <c r="C46" s="6" t="str">
        <f>IF(RfTenor&lt;&gt;5,"N/A",IF(AND(ISNUMBER(TVShare),ISNUMBER(INDEX(Scenarios!$B$47:$D$49,ScenIdx,MATCH(SRP_Sel,SRP_List,0)))),IF(ABS(TVShare-INDEX(Scenarios!$B$47:$D$49,ScenIdx,MATCH(SRP_Sel,SRP_List,0)))&lt;=1e-06,"OK","DIFF"),IF(AND(NOT(ISNUMBER(TVShare)),NOT(ISNUMBER(INDEX(Scenarios!$B$47:$D$49,ScenIdx,MATCH(SRP_Sel,SRP_List,0))))),"N/M","DIFF")))</f>
        <v>OK</v>
      </c>
      <c r="D46" s="5">
        <f>TVShare</f>
        <v>0.3439592359162124</v>
      </c>
      <c r="E46" s="5">
        <f>INDEX(Scenarios!$B$47:$D$49,ScenIdx,MATCH(SRP_Sel,SRP_List,0))</f>
        <v>0.343959235916212</v>
      </c>
      <c r="F46" s="7" t="s">
        <v>896</v>
      </c>
      <c r="G46" s="9" t="s">
        <v>900</v>
      </c>
    </row>
    <row r="47" spans="1:7">
      <c r="A47" s="7" t="s">
        <v>905</v>
      </c>
      <c r="B47" s="7" t="s">
        <v>906</v>
      </c>
      <c r="C47" s="6" t="str">
        <f>IF(RfTenor&lt;&gt;5,"N/A",IF(AND(ISNUMBER(ImpliedMultiple),ISNUMBER(INDEX(Scenarios!$B$52:$D$54,ScenIdx,MATCH(SRP_Sel,SRP_List,0)))),IF(ABS(ImpliedMultiple-INDEX(Scenarios!$B$52:$D$54,ScenIdx,MATCH(SRP_Sel,SRP_List,0)))&lt;=0.0001,"OK","DIFF"),IF(AND(NOT(ISNUMBER(ImpliedMultiple)),NOT(ISNUMBER(INDEX(Scenarios!$B$52:$D$54,ScenIdx,MATCH(SRP_Sel,SRP_List,0))))),"N/M","DIFF")))</f>
        <v>OK</v>
      </c>
      <c r="D47" s="5">
        <f>ImpliedMultiple</f>
        <v>7.232677586074427</v>
      </c>
      <c r="E47" s="5">
        <f>INDEX(Scenarios!$B$52:$D$54,ScenIdx,MATCH(SRP_Sel,SRP_List,0))</f>
        <v>7.232677586074425</v>
      </c>
      <c r="F47" s="7" t="s">
        <v>896</v>
      </c>
      <c r="G47" s="9" t="s">
        <v>907</v>
      </c>
    </row>
    <row r="48" spans="1:7">
      <c r="A48" s="7" t="s">
        <v>908</v>
      </c>
      <c r="B48" s="7" t="s">
        <v>909</v>
      </c>
      <c r="C48" s="6" t="str">
        <f>IF(RfTenor&lt;&gt;5,"N/A",IF(AND(ISNUMBER(PerShareExit),ISNUMBER(INDEX(Scenarios!$B$57:$D$59,ScenIdx,MATCH(SRP_Sel,SRP_List,0)))),IF(ABS(PerShareExit-INDEX(Scenarios!$B$57:$D$59,ScenIdx,MATCH(SRP_Sel,SRP_List,0)))&lt;=1,"OK","DIFF"),IF(AND(NOT(ISNUMBER(PerShareExit)),NOT(ISNUMBER(INDEX(Scenarios!$B$57:$D$59,ScenIdx,MATCH(SRP_Sel,SRP_List,0))))),"N/M","DIFF")))</f>
        <v>N/M</v>
      </c>
      <c r="D48" s="5" t="str">
        <f>PerShareExit</f>
        <v>N/M</v>
      </c>
      <c r="E48" s="5" t="str">
        <f>INDEX(Scenarios!$B$57:$D$59,ScenIdx,MATCH(SRP_Sel,SRP_List,0))</f>
        <v>n/a</v>
      </c>
      <c r="F48" s="7" t="s">
        <v>896</v>
      </c>
      <c r="G48" s="9" t="s">
        <v>910</v>
      </c>
    </row>
    <row r="49" spans="1:7">
      <c r="A49" s="7" t="s">
        <v>911</v>
      </c>
      <c r="B49" s="7" t="s">
        <v>912</v>
      </c>
      <c r="C49" s="6" t="str">
        <f>IF(RfTenor&lt;&gt;5,"N/A",IF(AND(ISNUMBER(EV_930),ISNUMBER(INDEX(Scenarios!$B$62:$D$64,ScenIdx,MATCH(SRP_Sel,SRP_List,0)))),IF(ABS(EV_930-INDEX(Scenarios!$B$62:$D$64,ScenIdx,MATCH(SRP_Sel,SRP_List,0)))&lt;=0.01,"OK","DIFF"),IF(AND(NOT(ISNUMBER(EV_930)),NOT(ISNUMBER(INDEX(Scenarios!$B$62:$D$64,ScenIdx,MATCH(SRP_Sel,SRP_List,0))))),"N/M","DIFF")))</f>
        <v>OK</v>
      </c>
      <c r="D49" s="5">
        <f>EV_930</f>
        <v>2729.90324952916</v>
      </c>
      <c r="E49" s="5">
        <f>INDEX(Scenarios!$B$62:$D$64,ScenIdx,MATCH(SRP_Sel,SRP_List,0))</f>
        <v>2729.903249529163</v>
      </c>
      <c r="F49" s="7" t="s">
        <v>896</v>
      </c>
      <c r="G49" s="9" t="s">
        <v>913</v>
      </c>
    </row>
    <row r="50" spans="1:7">
      <c r="A50" s="7" t="s">
        <v>914</v>
      </c>
      <c r="B50" s="7" t="s">
        <v>915</v>
      </c>
      <c r="C50" s="6" t="str">
        <f>IF(RfTenor&lt;&gt;5,"N/A",IF(AND(ISNUMBER(ImpliedG_Exit),ISNUMBER(INDEX(Scenarios!$B$67:$D$69,ScenIdx,MATCH(SRP_Sel,SRP_List,0)))),IF(ABS(ImpliedG_Exit-INDEX(Scenarios!$B$67:$D$69,ScenIdx,MATCH(SRP_Sel,SRP_List,0)))&lt;=1e-06,"OK","DIFF"),IF(AND(NOT(ISNUMBER(ImpliedG_Exit)),NOT(ISNUMBER(INDEX(Scenarios!$B$67:$D$69,ScenIdx,MATCH(SRP_Sel,SRP_List,0))))),"N/M","DIFF")))</f>
        <v>N/M</v>
      </c>
      <c r="D50" s="5" t="str">
        <f>ImpliedG_Exit</f>
        <v>N/M</v>
      </c>
      <c r="E50" s="5" t="str">
        <f>INDEX(Scenarios!$B$67:$D$69,ScenIdx,MATCH(SRP_Sel,SRP_List,0))</f>
        <v>n/a</v>
      </c>
      <c r="F50" s="7" t="s">
        <v>896</v>
      </c>
      <c r="G50" s="9" t="s">
        <v>900</v>
      </c>
    </row>
    <row r="51" spans="1:7">
      <c r="A51" s="7" t="s">
        <v>916</v>
      </c>
      <c r="B51" s="7" t="s">
        <v>917</v>
      </c>
      <c r="C51" s="6" t="str">
        <f>IF(RfTenor&lt;&gt;5,"N/A",IF(AND(ISNUMBER(TVShare_Exit),ISNUMBER(INDEX(Scenarios!$B$72:$D$74,ScenIdx,MATCH(SRP_Sel,SRP_List,0)))),IF(ABS(TVShare_Exit-INDEX(Scenarios!$B$72:$D$74,ScenIdx,MATCH(SRP_Sel,SRP_List,0)))&lt;=1e-06,"OK","DIFF"),IF(AND(NOT(ISNUMBER(TVShare_Exit)),NOT(ISNUMBER(INDEX(Scenarios!$B$72:$D$74,ScenIdx,MATCH(SRP_Sel,SRP_List,0))))),"N/M","DIFF")))</f>
        <v>N/M</v>
      </c>
      <c r="D51" s="5" t="str">
        <f>TVShare_Exit</f>
        <v>N/M</v>
      </c>
      <c r="E51" s="5" t="str">
        <f>INDEX(Scenarios!$B$72:$D$74,ScenIdx,MATCH(SRP_Sel,SRP_List,0))</f>
        <v>n/a</v>
      </c>
      <c r="F51" s="7" t="s">
        <v>896</v>
      </c>
      <c r="G51" s="9" t="s">
        <v>900</v>
      </c>
    </row>
    <row r="52" spans="1:7">
      <c r="A52" s="7" t="s">
        <v>918</v>
      </c>
      <c r="B52" s="7" t="s">
        <v>919</v>
      </c>
      <c r="C52" s="6" t="str">
        <f>IF(RfTenor&lt;&gt;5,"N/A",IF(MAX(ABS(MAX(ScenDiff)),ABS(MIN(ScenDiff)))&lt;=1,"OK","DIFF"))</f>
        <v>OK</v>
      </c>
      <c r="D52" s="5">
        <f>MAX(ABS(MAX(ScenDiff)),ABS(MIN(ScenDiff)))</f>
        <v>3.637978807091713e-12</v>
      </c>
      <c r="E52" s="7" t="s">
        <v>242</v>
      </c>
      <c r="F52" s="7" t="s">
        <v>896</v>
      </c>
      <c r="G52" s="9" t="s">
        <v>920</v>
      </c>
    </row>
    <row r="53" spans="1:7">
      <c r="A53" s="7" t="s">
        <v>921</v>
      </c>
      <c r="B53" s="7" t="s">
        <v>922</v>
      </c>
      <c r="C53" s="6" t="str">
        <f>IF(RfTenor&lt;&gt;10,"N/A",IF(MAX(ABS(MAX(Rf10Diff)),ABS(MIN(Rf10Diff)))&lt;=1,"OK","DIFF"))</f>
        <v>N/A</v>
      </c>
      <c r="D53" s="5">
        <f>IF(RfTenor&lt;&gt;10,"",MAX(ABS(MAX(Rf10Diff)),ABS(MIN(Rf10Diff))))</f>
        <v/>
      </c>
      <c r="E53" s="7" t="s">
        <v>242</v>
      </c>
      <c r="F53" s="7" t="s">
        <v>896</v>
      </c>
      <c r="G53" s="9" t="s">
        <v>923</v>
      </c>
    </row>
    <row r="54" spans="1:7">
      <c r="A54" s="7" t="s">
        <v>924</v>
      </c>
      <c r="B54" s="7" t="s">
        <v>925</v>
      </c>
      <c r="C54" s="6" t="str">
        <f>IF(OR(RfTenor=5,RfTenor=10),"OK","ERR")</f>
        <v>OK</v>
      </c>
      <c r="D54" s="5">
        <f>RfTenor</f>
        <v>5.0</v>
      </c>
      <c r="F54" s="7" t="s">
        <v>827</v>
      </c>
    </row>
    <row r="55" spans="1:7">
      <c r="A55" s="7" t="s">
        <v>926</v>
      </c>
      <c r="B55" s="7" t="s">
        <v>927</v>
      </c>
      <c r="C55" s="6" t="str">
        <f>IF(AND(ISNUMBER(BetaU),ISNUMBER(WACC!$E$6)),IF(ABS(BetaU-WACC!$E$6)&lt;=1E-9,"OK","DIFF"),IF(AND(NOT(ISNUMBER(BetaU)),NOT(ISNUMBER(WACC!$E$6))),"N/M","DIFF"))</f>
        <v>OK</v>
      </c>
      <c r="D55" s="5">
        <f>BetaU</f>
        <v>0.623993707645853</v>
      </c>
      <c r="E55" s="5">
        <f>WACC!$E$6</f>
        <v>0.623993707645853</v>
      </c>
      <c r="F55" s="7" t="s">
        <v>896</v>
      </c>
    </row>
    <row r="56" spans="1:7">
      <c r="A56" s="7" t="s">
        <v>928</v>
      </c>
      <c r="B56" s="7" t="s">
        <v>929</v>
      </c>
      <c r="C56" s="6" t="str">
        <f>IFERROR(IF(MAX(ABS(Peers!$H$17-Peers!$L$17),ABS(Peers!$I$17-Peers!$M$17),ABS(Peers!$J$17-Peers!$N$17))&lt;=1,"OK","DIFF"),IF(COUNT(Peers!$H$17:$J$17,Peers!$L$17:$N$17)=0,"OK","DIFF"))</f>
        <v>OK</v>
      </c>
      <c r="D56" s="5" t="str">
        <f>Peers!$I$17</f>
        <v>N/M</v>
      </c>
      <c r="E56" s="5" t="str">
        <f>Peers!$M$17</f>
        <v>n/a</v>
      </c>
      <c r="F56" s="7" t="s">
        <v>896</v>
      </c>
      <c r="G56" s="9" t="s">
        <v>920</v>
      </c>
    </row>
    <row r="57" spans="1:7">
      <c r="A57" s="7" t="s">
        <v>930</v>
      </c>
      <c r="B57" s="7" t="s">
        <v>931</v>
      </c>
      <c r="C57" s="6" t="str">
        <f>IFERROR(IF(MAX(ABS(Peers!$H$15-Peers!$L$15),ABS(Peers!$I$15-Peers!$M$15),ABS(Peers!$J$15-Peers!$N$15))&lt;=1,"OK","DIFF"),IF(COUNT(Peers!$H$15:$J$15,Peers!$L$15:$N$15)=0,"OK","DIFF"))</f>
        <v>OK</v>
      </c>
      <c r="D57" s="5" t="str">
        <f>Peers!$I$15</f>
        <v>N/M</v>
      </c>
      <c r="E57" s="5" t="str">
        <f>Peers!$M$15</f>
        <v>n/a</v>
      </c>
      <c r="F57" s="7" t="s">
        <v>896</v>
      </c>
      <c r="G57" s="9" t="s">
        <v>920</v>
      </c>
    </row>
    <row r="58" spans="1:7">
      <c r="A58" s="7" t="s">
        <v>932</v>
      </c>
      <c r="B58" s="7" t="s">
        <v>933</v>
      </c>
      <c r="C58" s="6" t="str">
        <f>IFERROR(IF(MAX(ABS(Peers!$H$19-Peers!$L$19),ABS(Peers!$I$19-Peers!$M$19),ABS(Peers!$J$19-Peers!$N$19))&lt;=1,"OK","DIFF"),IF(COUNT(Peers!$H$19:$J$19,Peers!$L$19:$N$19)=0,"OK","DIFF"))</f>
        <v>OK</v>
      </c>
      <c r="D58" s="5" t="str">
        <f>Peers!$I$19</f>
        <v>N/M</v>
      </c>
      <c r="E58" s="5" t="str">
        <f>Peers!$M$19</f>
        <v>n/a</v>
      </c>
      <c r="F58" s="7" t="s">
        <v>896</v>
      </c>
      <c r="G58" s="9" t="s">
        <v>920</v>
      </c>
    </row>
    <row r="59" spans="1:7">
      <c r="A59" s="7" t="s">
        <v>934</v>
      </c>
      <c r="B59" s="7" t="s">
        <v>935</v>
      </c>
      <c r="C59" s="6" t="str">
        <f>IFERROR(IF(MAX(ABS(Peers!$H$18-Peers!$L$18),ABS(Peers!$I$18-Peers!$M$18),ABS(Peers!$J$18-Peers!$N$18))&lt;=1,"OK","DIFF"),IF(COUNT(Peers!$H$18:$J$18,Peers!$L$18:$N$18)=0,"OK","DIFF"))</f>
        <v>OK</v>
      </c>
      <c r="D59" s="5">
        <f>Peers!$I$18</f>
        <v>2566.1477972484117</v>
      </c>
      <c r="E59" s="5">
        <f>Peers!$M$18</f>
        <v>2566.147797248409</v>
      </c>
      <c r="F59" s="7" t="s">
        <v>896</v>
      </c>
      <c r="G59" s="9" t="s">
        <v>920</v>
      </c>
    </row>
    <row r="60" spans="1:7">
      <c r="A60" s="7" t="s">
        <v>936</v>
      </c>
      <c r="B60" s="7" t="s">
        <v>937</v>
      </c>
      <c r="C60" s="6" t="str">
        <f>IF(AND(ISNUMBER(Block_q1),ISNUMBER(Premium!$E$23),ISNUMBER(Block_q2),ISNUMBER(Premium!$E$24),ISNUMBER(Block_q3),ISNUMBER(Premium!$E$25)),IF(MAX(ABS(Block_q1-Premium!$E$23),ABS(Block_q2-Premium!$E$24),ABS(Block_q3-Premium!$E$25))&lt;=1,"OK","DIFF"),IF(AND(NOT(ISNUMBER(Block_q1)),NOT(ISNUMBER(Premium!$E$23)),NOT(ISNUMBER(Block_q2)),NOT(ISNUMBER(Premium!$E$24)),NOT(ISNUMBER(Block_q3)),NOT(ISNUMBER(Premium!$E$25))),"N/M","DIFF"))</f>
        <v>OK</v>
      </c>
      <c r="D60" s="5">
        <f>Block_q2</f>
        <v>21386.951142886155</v>
      </c>
      <c r="E60" s="5">
        <f>Premium!$E$24</f>
        <v>21386.95114288616</v>
      </c>
      <c r="F60" s="7" t="s">
        <v>896</v>
      </c>
    </row>
    <row r="61" spans="1:7">
      <c r="A61" s="7" t="s">
        <v>938</v>
      </c>
      <c r="B61" s="7" t="s">
        <v>939</v>
      </c>
      <c r="C61" s="6" t="str">
        <f>IF(AND(PremMethod=Premium!$E$10,PremReason=Premium!$E$11),"OK","DIFF")</f>
        <v>OK</v>
      </c>
      <c r="D61" s="5" t="str">
        <f>PremMethod</f>
        <v>regression</v>
      </c>
      <c r="E61" s="5" t="str">
        <f>Premium!$E$10</f>
        <v>regression</v>
      </c>
      <c r="F61" s="7" t="s">
        <v>896</v>
      </c>
    </row>
    <row r="62" spans="1:7">
      <c r="A62" s="7" t="s">
        <v>940</v>
      </c>
      <c r="B62" s="7" t="s">
        <v>941</v>
      </c>
      <c r="C62" s="6" t="str">
        <f>IF(AND(ScenSel="기본",SRP_Sel=SRP_1,RonicStart="normal",RfTenor=5),IF(MAX(ABS(MAX(Scenarios!$P$89:$T$93)),ABS(MIN(Scenarios!$P$89:$T$93)))&lt;=1,"OK","DIFF"),"N/A")</f>
        <v>OK</v>
      </c>
      <c r="D62" s="5">
        <f>MAX(ABS(MAX(Scenarios!$P$89:$T$93)),ABS(MIN(Scenarios!$P$89:$T$93)))</f>
        <v>0.0</v>
      </c>
      <c r="E62" s="7" t="s">
        <v>242</v>
      </c>
      <c r="F62" s="7" t="s">
        <v>896</v>
      </c>
      <c r="G62" s="9" t="s">
        <v>942</v>
      </c>
    </row>
    <row r="63" spans="1:7">
      <c r="A63" s="7" t="s">
        <v>943</v>
      </c>
      <c r="B63" s="7" t="s">
        <v>944</v>
      </c>
      <c r="C63" s="6" t="str">
        <f>IF(AND(ScenSel="기본",SRP_Sel=SRP_1,RonicStart="normal",RfTenor=5),IF(AND(ISNUMBER(Scenarios!$D$91),ISNUMBER(PerShare)),IF(ABS(Scenarios!$D$91-PerShare)&lt;=1,"OK","DIFF"),IF(AND(NOT(ISNUMBER(Scenarios!$D$91)),NOT(ISNUMBER(PerShare))),"N/M","DIFF")),"N/A")</f>
        <v>OK</v>
      </c>
      <c r="D63" s="5">
        <f>Scenarios!$D$91</f>
        <v>8733.864451149073</v>
      </c>
      <c r="E63" s="5">
        <f>PerShare</f>
        <v>8733.86445114907</v>
      </c>
      <c r="F63" s="7" t="s">
        <v>896</v>
      </c>
    </row>
    <row r="64" spans="1:7">
      <c r="A64" s="7" t="s">
        <v>945</v>
      </c>
      <c r="B64" s="7" t="s">
        <v>946</v>
      </c>
      <c r="C64" s="6" t="str">
        <f>IF(AND(ScenSel="기본",SRP_Sel=SRP_1,RonicStart="normal",RfTenor=5),IF(MAX(ABS(MAX(Scenarios!$P$98:$T$102)),ABS(MIN(Scenarios!$P$98:$T$102)))&lt;=1,"OK","DIFF"),"N/A")</f>
        <v>OK</v>
      </c>
      <c r="D64" s="5">
        <f>MAX(ABS(MAX(Scenarios!$P$98:$T$102)),ABS(MIN(Scenarios!$P$98:$T$102)))</f>
        <v>0.0</v>
      </c>
      <c r="E64" s="7" t="s">
        <v>242</v>
      </c>
      <c r="F64" s="7" t="s">
        <v>896</v>
      </c>
      <c r="G64" s="9" t="s">
        <v>942</v>
      </c>
    </row>
    <row r="65" spans="1:7">
      <c r="A65" s="7" t="s">
        <v>947</v>
      </c>
      <c r="B65" s="7" t="s">
        <v>948</v>
      </c>
      <c r="C65" s="6" t="str">
        <f>IF(AND(ScenSel="기본",SRP_Sel=SRP_1,RonicStart="normal",RfTenor=5),IF(AND(ISNUMBER(Scenarios!$D$100),ISNUMBER(PerShare)),IF(ABS(Scenarios!$D$100-PerShare)&lt;=1,"OK","DIFF"),IF(AND(NOT(ISNUMBER(Scenarios!$D$100)),NOT(ISNUMBER(PerShare))),"N/M","DIFF")),"N/A")</f>
        <v>OK</v>
      </c>
      <c r="D65" s="5">
        <f>Scenarios!$D$100</f>
        <v>8733.864451149073</v>
      </c>
      <c r="E65" s="5">
        <f>PerShare</f>
        <v>8733.86445114907</v>
      </c>
      <c r="F65" s="7" t="s">
        <v>896</v>
      </c>
    </row>
    <row r="66" spans="1:7">
      <c r="A66" s="7" t="s">
        <v>949</v>
      </c>
      <c r="B66" s="7" t="s">
        <v>950</v>
      </c>
      <c r="C66" s="6" t="str">
        <f>IF(AND(ScenSel="기본",SRP_Sel=SRP_1,RonicStart="normal",RfTenor=5),IF(MAX(ABS(MAX(Scenarios!$L$107:$N$109)),ABS(MIN(Scenarios!$L$107:$N$109)))&lt;=1,"OK","DIFF"),"N/A")</f>
        <v>OK</v>
      </c>
      <c r="D66" s="5">
        <f>MAX(ABS(MAX(Scenarios!$L$107:$N$109)),ABS(MIN(Scenarios!$L$107:$N$109)))</f>
        <v>0.0</v>
      </c>
      <c r="E66" s="7" t="s">
        <v>242</v>
      </c>
      <c r="F66" s="7" t="s">
        <v>896</v>
      </c>
      <c r="G66" s="9" t="s">
        <v>942</v>
      </c>
    </row>
    <row r="67" spans="1:7">
      <c r="A67" s="7" t="s">
        <v>951</v>
      </c>
      <c r="B67" s="7" t="s">
        <v>952</v>
      </c>
      <c r="C67" s="6" t="str">
        <f>IF(AND(ScenSel="기본",SRP_Sel=SRP_1,RonicStart="normal",RfTenor=5),IF(AND(ISNUMBER(Scenarios!$B$108),ISNUMBER(PerShare)),IF(ABS(Scenarios!$B$108-PerShare)&lt;=1,"OK","DIFF"),IF(AND(NOT(ISNUMBER(Scenarios!$B$108)),NOT(ISNUMBER(PerShare))),"N/M","DIFF")),"N/A")</f>
        <v>OK</v>
      </c>
      <c r="D67" s="5">
        <f>Scenarios!$B$108</f>
        <v>8733.864451149073</v>
      </c>
      <c r="E67" s="5">
        <f>PerShare</f>
        <v>8733.86445114907</v>
      </c>
      <c r="F67" s="7" t="s">
        <v>896</v>
      </c>
    </row>
    <row r="68" spans="1:7">
      <c r="A68" s="7" t="s">
        <v>953</v>
      </c>
      <c r="B68" s="7" t="s">
        <v>954</v>
      </c>
      <c r="C68" s="6" t="str">
        <f>IF(AND(ScenSel="기본",SRP_Sel=SRP_1,RonicStart="normal",RfTenor=5),IF(MAX(ABS(MAX(Scenarios!$N$121:$Q$122)),ABS(MIN(Scenarios!$N$121:$Q$122)))&lt;=1,"OK","DIFF"),"N/A")</f>
        <v>OK</v>
      </c>
      <c r="D68" s="5">
        <f>MAX(ABS(MAX(Scenarios!$N$121:$Q$122)),ABS(MIN(Scenarios!$N$121:$Q$122)))</f>
        <v>0.0</v>
      </c>
      <c r="E68" s="7" t="s">
        <v>242</v>
      </c>
      <c r="F68" s="7" t="s">
        <v>896</v>
      </c>
      <c r="G68" s="9" t="s">
        <v>942</v>
      </c>
    </row>
    <row r="69" spans="1:7">
      <c r="A69" s="7" t="s">
        <v>955</v>
      </c>
      <c r="B69" s="7" t="s">
        <v>956</v>
      </c>
      <c r="C69" s="6" t="str">
        <f>IF(AND(ScenSel="기본",SRP_Sel=SRP_1,RonicStart="normal",RfTenor=5),IF(AND(ISNUMBER(Scenarios!$B$121),ISNUMBER(PerShare)),IF(ABS(Scenarios!$B$121-PerShare)&lt;=1,"OK","DIFF"),IF(AND(NOT(ISNUMBER(Scenarios!$B$121)),NOT(ISNUMBER(PerShare))),"N/M","DIFF")),"N/A")</f>
        <v>OK</v>
      </c>
      <c r="D69" s="5">
        <f>Scenarios!$B$121</f>
        <v>8733.864451149073</v>
      </c>
      <c r="E69" s="5">
        <f>PerShare</f>
        <v>8733.86445114907</v>
      </c>
      <c r="F69" s="7" t="s">
        <v>896</v>
      </c>
    </row>
    <row r="70" spans="1:7">
      <c r="A70" s="7" t="s">
        <v>957</v>
      </c>
      <c r="B70" s="7" t="s">
        <v>958</v>
      </c>
      <c r="C70" s="6" t="str">
        <f>IF(Convergence!$F$13=Convergence!$F$8,"OK","DIFF")</f>
        <v>OK</v>
      </c>
      <c r="D70" s="5" t="str">
        <f>Convergence!$F$13</f>
        <v>판정 불가(대상 지표 ≤ 0)</v>
      </c>
      <c r="E70" s="5" t="str">
        <f>Convergence!$F$8</f>
        <v>판정 불가(대상 지표 ≤ 0)</v>
      </c>
      <c r="F70" s="7" t="s">
        <v>896</v>
      </c>
    </row>
    <row r="71" spans="1:7">
      <c r="A71" s="7" t="s">
        <v>959</v>
      </c>
      <c r="B71" s="7" t="s">
        <v>960</v>
      </c>
      <c r="C71" s="6" t="str">
        <f>IF(AND(ISNUMBER(Convergence!$B$13),ISNUMBER(Convergence!$B$8)),IF(ABS(Convergence!$B$13-Convergence!$B$8)&lt;=1,"OK","DIFF"),IF(AND(NOT(ISNUMBER(Convergence!$B$13)),NOT(ISNUMBER(Convergence!$B$8))),"N/M","DIFF"))</f>
        <v>OK</v>
      </c>
      <c r="D71" s="5">
        <f>Convergence!$B$13</f>
        <v>8733.86445114907</v>
      </c>
      <c r="E71" s="5">
        <f>Convergence!$B$8</f>
        <v>8733.864451149073</v>
      </c>
      <c r="F71" s="7" t="s">
        <v>896</v>
      </c>
    </row>
    <row r="72" spans="1:7">
      <c r="A72" s="7" t="s">
        <v>961</v>
      </c>
      <c r="B72" s="7" t="s">
        <v>962</v>
      </c>
      <c r="C72" s="6" t="str">
        <f>IFERROR(IF(MAX(ABS(Convergence!$C$13-Convergence!$C$8),ABS(Convergence!$D$13-Convergence!$D$8))&lt;=1,"OK","DIFF"),IF(COUNT(Convergence!$C$13,Convergence!$D$13,Convergence!$C$8,Convergence!$D$8)=0,"OK","DIFF"))</f>
        <v>OK</v>
      </c>
      <c r="D72" s="5" t="str">
        <f>Convergence!$C$13</f>
        <v>N/M</v>
      </c>
      <c r="E72" s="5" t="str">
        <f>Convergence!$C$8</f>
        <v>n/a</v>
      </c>
      <c r="F72" s="7" t="s">
        <v>896</v>
      </c>
    </row>
    <row r="73" spans="1:7">
      <c r="A73" s="7" t="s">
        <v>963</v>
      </c>
      <c r="B73" s="7" t="s">
        <v>964</v>
      </c>
      <c r="C73" s="6" t="str">
        <f>IFERROR(IF(MAX(ABS(Convergence!$C$14-Convergence!$C$7),ABS(Convergence!$D$14-Convergence!$D$7))&lt;=1,"OK","DIFF"),IF(COUNT(Convergence!$C$14,Convergence!$D$14,Convergence!$C$7,Convergence!$D$7)=0,"OK","DIFF"))</f>
        <v>OK</v>
      </c>
      <c r="D73" s="5" t="str">
        <f>Convergence!$C$14</f>
        <v>N/M</v>
      </c>
      <c r="E73" s="5" t="str">
        <f>Convergence!$C$7</f>
        <v>n/a</v>
      </c>
      <c r="F73" s="7" t="s">
        <v>896</v>
      </c>
    </row>
    <row r="74" spans="1:7">
      <c r="A74" s="7" t="s">
        <v>965</v>
      </c>
      <c r="B74" s="7" t="s">
        <v>966</v>
      </c>
      <c r="C74" s="6" t="str">
        <f>IF(RfTenor&lt;&gt;5,"N/A",IF(AND(ISNUMBER(Scenarios!$K$91),ISNUMBER(INDEX(ScenGridPS,MATCH("기본",ScenNames,0),1))),IF(ABS(Scenarios!$K$91-INDEX(ScenGridPS,MATCH("기본",ScenNames,0),1))&lt;=1,"OK","DIFF"),IF(AND(NOT(ISNUMBER(Scenarios!$K$91)),NOT(ISNUMBER(INDEX(ScenGridPS,MATCH("기본",ScenNames,0),1)))),"N/M","DIFF")))</f>
        <v>OK</v>
      </c>
      <c r="D74" s="5">
        <f>Scenarios!$K$91</f>
        <v>8733.864451149073</v>
      </c>
      <c r="E74" s="5">
        <f>INDEX(ScenGridPS,MATCH("기본",ScenNames,0),1)</f>
        <v>8733.86445114907</v>
      </c>
      <c r="F74" s="7" t="s">
        <v>896</v>
      </c>
    </row>
  </sheetData>
  <conditionalFormatting sqref="C3">
    <cfRule type="cellIs" dxfId="0" priority="1" operator="equal">
      <formula>"OK"</formula>
    </cfRule>
    <cfRule type="cellIs" dxfId="0" priority="2" operator="equal">
      <formula>"N/M"</formula>
    </cfRule>
    <cfRule type="cellIs" dxfId="1" priority="3" operator="equal">
      <formula>"ERR"</formula>
    </cfRule>
    <cfRule type="cellIs" dxfId="2" priority="4" operator="equal">
      <formula>"WARN"</formula>
    </cfRule>
    <cfRule type="cellIs" dxfId="2" priority="5" operator="equal">
      <formula>"DIFF"</formula>
    </cfRule>
  </conditionalFormatting>
  <conditionalFormatting sqref="C6:C74">
    <cfRule type="cellIs" dxfId="0" priority="6" operator="equal">
      <formula>"OK"</formula>
    </cfRule>
    <cfRule type="cellIs" dxfId="0" priority="7" operator="equal">
      <formula>"N/M"</formula>
    </cfRule>
    <cfRule type="cellIs" dxfId="1" priority="8" operator="equal">
      <formula>"ERR"</formula>
    </cfRule>
    <cfRule type="cellIs" dxfId="2" priority="9" operator="equal">
      <formula>"WARN"</formula>
    </cfRule>
    <cfRule type="cellIs" dxfId="2" priority="10" operator="equal">
      <formula>"DIFF"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7030A0"/>
  </sheetPr>
  <dimension ref="A1:G161"/>
  <sheetViews>
    <sheetView showGridLines="0" workbookViewId="0"/>
  </sheetViews>
  <sheetFormatPr defaultRowHeight="15"/>
  <cols>
    <col min="1" max="1" width="46.7109375" customWidth="1"/>
    <col min="2" max="4" width="16.7109375" customWidth="1"/>
    <col min="5" max="5" width="44.7109375" customWidth="1"/>
    <col min="6" max="6" width="16.7109375" customWidth="1"/>
    <col min="7" max="7" width="12.7109375" customWidth="1"/>
  </cols>
  <sheetData>
    <row r="1" spans="1:3">
      <c r="A1" s="1" t="s">
        <v>968</v>
      </c>
    </row>
    <row r="2" spans="1:3">
      <c r="A2" s="9" t="s">
        <v>969</v>
      </c>
    </row>
    <row r="4" spans="1:3">
      <c r="A4" s="11" t="s">
        <v>970</v>
      </c>
    </row>
    <row r="5" spans="1:3">
      <c r="A5" s="7" t="s">
        <v>971</v>
      </c>
      <c r="B5" s="57">
        <f>INDEX(ScenGridPS,MATCH("기본",ScenNames,0),1)</f>
        <v>8733.86445114907</v>
      </c>
    </row>
    <row r="6" spans="1:3">
      <c r="A6" s="7" t="s">
        <v>972</v>
      </c>
      <c r="B6" s="58">
        <v>8733.864451149073</v>
      </c>
    </row>
    <row r="7" spans="1:3">
      <c r="A7" s="7" t="s">
        <v>973</v>
      </c>
      <c r="B7" s="17" t="s">
        <v>301</v>
      </c>
      <c r="C7" s="9" t="s">
        <v>974</v>
      </c>
    </row>
    <row r="8" spans="1:3">
      <c r="A8" s="7" t="s">
        <v>975</v>
      </c>
      <c r="B8" s="58" t="s">
        <v>695</v>
      </c>
      <c r="C8" s="9" t="s">
        <v>976</v>
      </c>
    </row>
    <row r="9" spans="1:3">
      <c r="A9" s="7" t="s">
        <v>977</v>
      </c>
      <c r="B9" s="58" t="s">
        <v>695</v>
      </c>
    </row>
    <row r="10" spans="1:3">
      <c r="A10" s="7" t="s">
        <v>978</v>
      </c>
      <c r="B10" s="58" t="s">
        <v>695</v>
      </c>
    </row>
    <row r="11" spans="1:3">
      <c r="A11" s="7" t="s">
        <v>979</v>
      </c>
      <c r="B11" s="19">
        <v>3</v>
      </c>
    </row>
    <row r="12" spans="1:3">
      <c r="A12" s="7" t="s">
        <v>980</v>
      </c>
      <c r="B12" s="19">
        <v>1</v>
      </c>
      <c r="C12" s="9" t="s">
        <v>981</v>
      </c>
    </row>
    <row r="13" spans="1:3">
      <c r="A13" s="7" t="s">
        <v>982</v>
      </c>
      <c r="B13" s="57">
        <f>Close</f>
        <v>20000.0</v>
      </c>
      <c r="C13" s="9" t="s">
        <v>130</v>
      </c>
    </row>
    <row r="14" spans="1:3">
      <c r="A14" s="7" t="s">
        <v>983</v>
      </c>
      <c r="B14" s="39">
        <f>DiagDcf/Close</f>
        <v>0.43669322255745346</v>
      </c>
    </row>
    <row r="15" spans="1:3">
      <c r="A15" s="7" t="s">
        <v>984</v>
      </c>
      <c r="B15" s="63">
        <v>0.67</v>
      </c>
      <c r="C15" s="9" t="s">
        <v>985</v>
      </c>
    </row>
    <row r="16" spans="1:3">
      <c r="A16" s="7" t="s">
        <v>986</v>
      </c>
      <c r="B16" s="63">
        <v>1.5</v>
      </c>
      <c r="C16" s="9" t="s">
        <v>985</v>
      </c>
    </row>
    <row r="17" spans="1:4">
      <c r="A17" s="7" t="s">
        <v>987</v>
      </c>
      <c r="B17" s="63">
        <v>0.67</v>
      </c>
      <c r="C17" s="9" t="s">
        <v>988</v>
      </c>
    </row>
    <row r="18" spans="1:4">
      <c r="A18" s="7" t="s">
        <v>989</v>
      </c>
      <c r="B18" s="63">
        <v>1.5</v>
      </c>
    </row>
    <row r="19" spans="1:4">
      <c r="A19" s="7" t="s">
        <v>990</v>
      </c>
      <c r="B19" s="63">
        <v>0.5</v>
      </c>
      <c r="C19" s="9" t="s">
        <v>991</v>
      </c>
    </row>
    <row r="20" spans="1:4">
      <c r="A20" s="7" t="s">
        <v>992</v>
      </c>
      <c r="B20" s="63">
        <v>2</v>
      </c>
    </row>
    <row r="21" spans="1:4">
      <c r="A21" s="7" t="s">
        <v>993</v>
      </c>
      <c r="B21" s="7" t="str">
        <f>IF(OR(DiagPeerValid=0,NOT(ISNUMBER(DiagQ25)),NOT(ISNUMBER(DiagQ75)),N(DiagPeerN)&lt;3),"회색",IF(AND(DiagDcf&gt;=DiagQ25,DiagDcf&lt;=DiagQ75),"초록",IF(OR(AND(DiagDcf&gt;=DiagThPLo*DiagQ25,DiagDcf&lt;DiagQ25),AND(DiagDcf&gt;DiagQ75,DiagDcf&lt;=DiagThPHi*DiagQ75)),"노랑","빨강")))</f>
        <v>회색</v>
      </c>
      <c r="C21" s="9" t="s">
        <v>994</v>
      </c>
    </row>
    <row r="22" spans="1:4">
      <c r="A22" s="7" t="s">
        <v>995</v>
      </c>
      <c r="B22" s="7" t="str">
        <f>IF(AND(DiagMktRatio&gt;=DiagThMGLo,DiagMktRatio&lt;=DiagThMGHi),"초록",IF(AND(DiagMktRatio&gt;=DiagThMYLo,DiagMktRatio&lt;=DiagThMYHi),"노랑","빨강"))</f>
        <v>빨강</v>
      </c>
    </row>
    <row r="23" spans="1:4">
      <c r="A23" s="7" t="s">
        <v>996</v>
      </c>
      <c r="B23" s="7" t="str">
        <f>IF(OR(DiagLightPeer="빨강",DiagLightMkt="빨강"),"빨강",IF(OR(DiagLightPeer="노랑",DiagLightMkt="노랑"),"노랑",IF(AND(DiagLightPeer="회색",DiagLightMkt="회색"),"회색","초록")))</f>
        <v>빨강</v>
      </c>
    </row>
    <row r="24" spans="1:4">
      <c r="A24" s="7" t="s">
        <v>997</v>
      </c>
      <c r="B24" s="17" t="s">
        <v>998</v>
      </c>
    </row>
    <row r="25" spans="1:4">
      <c r="A25" s="7" t="s">
        <v>999</v>
      </c>
      <c r="B25" s="7" t="str">
        <f>IF(DiagLight=DiagLightEngine,"OK","DIFF")</f>
        <v>OK</v>
      </c>
      <c r="C25" s="9" t="s">
        <v>1000</v>
      </c>
    </row>
    <row r="27" spans="1:4">
      <c r="A27" s="11" t="s">
        <v>1001</v>
      </c>
    </row>
    <row r="28" spans="1:4">
      <c r="A28" s="10" t="s">
        <v>2</v>
      </c>
      <c r="B28" s="10" t="s">
        <v>1002</v>
      </c>
      <c r="C28" s="10" t="s">
        <v>1003</v>
      </c>
      <c r="D28" s="10" t="s">
        <v>1004</v>
      </c>
    </row>
    <row r="29" spans="1:4">
      <c r="A29" s="7" t="s">
        <v>1005</v>
      </c>
      <c r="B29" s="58" t="s">
        <v>695</v>
      </c>
      <c r="C29" s="58" t="s">
        <v>695</v>
      </c>
      <c r="D29" s="58" t="s">
        <v>695</v>
      </c>
    </row>
    <row r="30" spans="1:4">
      <c r="A30" s="7" t="s">
        <v>1006</v>
      </c>
      <c r="B30" s="18" t="s">
        <v>695</v>
      </c>
      <c r="C30" s="18" t="s">
        <v>1007</v>
      </c>
      <c r="D30" s="18" t="s">
        <v>695</v>
      </c>
    </row>
    <row r="31" spans="1:4">
      <c r="A31" s="7" t="s">
        <v>1008</v>
      </c>
      <c r="B31" s="18" t="s">
        <v>695</v>
      </c>
      <c r="C31" s="18" t="s">
        <v>1007</v>
      </c>
      <c r="D31" s="18" t="s">
        <v>695</v>
      </c>
    </row>
    <row r="32" spans="1:4">
      <c r="A32" s="7" t="s">
        <v>668</v>
      </c>
      <c r="B32" s="18" t="s">
        <v>695</v>
      </c>
      <c r="C32" s="18" t="s">
        <v>1007</v>
      </c>
      <c r="D32" s="18" t="s">
        <v>695</v>
      </c>
    </row>
    <row r="33" spans="1:4">
      <c r="A33" s="7" t="s">
        <v>1009</v>
      </c>
      <c r="B33" s="58" t="s">
        <v>695</v>
      </c>
      <c r="C33" s="58" t="s">
        <v>1007</v>
      </c>
      <c r="D33" s="58" t="s">
        <v>695</v>
      </c>
    </row>
    <row r="35" spans="1:4">
      <c r="A35" s="11" t="s">
        <v>1010</v>
      </c>
    </row>
    <row r="36" spans="1:4">
      <c r="A36" s="10" t="s">
        <v>2</v>
      </c>
      <c r="B36" s="10" t="s">
        <v>1011</v>
      </c>
      <c r="C36" s="10" t="s">
        <v>1012</v>
      </c>
    </row>
    <row r="37" spans="1:4">
      <c r="A37" s="7" t="s">
        <v>1013</v>
      </c>
      <c r="B37" s="62">
        <v>2729.903249529163</v>
      </c>
      <c r="C37" s="18">
        <v>0.0114300214719941</v>
      </c>
    </row>
    <row r="38" spans="1:4">
      <c r="A38" s="7" t="s">
        <v>1014</v>
      </c>
      <c r="B38" s="62">
        <v>938.9754358332358</v>
      </c>
      <c r="C38" s="18">
        <v>0.00393146145201299</v>
      </c>
    </row>
    <row r="39" spans="1:4">
      <c r="A39" s="7" t="s">
        <v>1015</v>
      </c>
      <c r="B39" s="62">
        <v>1790.927813695927</v>
      </c>
      <c r="C39" s="18">
        <v>0.007498560019981108</v>
      </c>
    </row>
    <row r="40" spans="1:4">
      <c r="A40" s="7" t="s">
        <v>1016</v>
      </c>
      <c r="B40" s="62">
        <v>1111.450347</v>
      </c>
      <c r="C40" s="18">
        <v>0.004653608633733223</v>
      </c>
    </row>
    <row r="41" spans="1:4">
      <c r="A41" s="7" t="s">
        <v>1017</v>
      </c>
      <c r="B41" s="62">
        <v>235050.336897</v>
      </c>
      <c r="C41" s="18">
        <v>0.9841485767656896</v>
      </c>
    </row>
    <row r="42" spans="1:4">
      <c r="A42" s="7" t="s">
        <v>1018</v>
      </c>
      <c r="B42" s="62">
        <v>-55.459414</v>
      </c>
      <c r="C42" s="18">
        <v>-0.0002322068714169785</v>
      </c>
    </row>
    <row r="43" spans="1:4">
      <c r="A43" s="7" t="s">
        <v>1019</v>
      </c>
      <c r="B43" s="62">
        <v>-0</v>
      </c>
      <c r="C43" s="18">
        <v>-0</v>
      </c>
    </row>
    <row r="44" spans="1:4">
      <c r="A44" s="7" t="s">
        <v>1020</v>
      </c>
      <c r="B44" s="62">
        <v>238836.2310795292</v>
      </c>
      <c r="C44" s="18">
        <v>1</v>
      </c>
    </row>
    <row r="46" spans="1:4">
      <c r="A46" s="11" t="s">
        <v>1021</v>
      </c>
    </row>
    <row r="47" spans="1:4">
      <c r="A47" s="10" t="s">
        <v>1022</v>
      </c>
      <c r="B47" s="10" t="s">
        <v>1023</v>
      </c>
      <c r="C47" s="10" t="s">
        <v>3</v>
      </c>
    </row>
    <row r="48" spans="1:4">
      <c r="A48" s="4" t="s">
        <v>1024</v>
      </c>
      <c r="B48" s="17" t="s">
        <v>1023</v>
      </c>
      <c r="C48" s="17" t="s">
        <v>1025</v>
      </c>
    </row>
    <row r="49" spans="1:4">
      <c r="A49" s="4" t="s">
        <v>1026</v>
      </c>
      <c r="B49" s="17" t="s">
        <v>1023</v>
      </c>
      <c r="C49" s="63">
        <v>0.3587601801351203</v>
      </c>
    </row>
    <row r="50" spans="1:4">
      <c r="A50" s="4" t="s">
        <v>1027</v>
      </c>
      <c r="B50" s="17" t="s">
        <v>1023</v>
      </c>
      <c r="C50" s="63">
        <v>0.2450248187690814</v>
      </c>
    </row>
    <row r="51" spans="1:4">
      <c r="A51" s="4" t="s">
        <v>1028</v>
      </c>
      <c r="B51" s="17" t="s">
        <v>1023</v>
      </c>
      <c r="C51" s="63">
        <v>-0.6519826686951469</v>
      </c>
    </row>
    <row r="52" spans="1:4">
      <c r="A52" s="4" t="s">
        <v>1029</v>
      </c>
      <c r="B52" s="17" t="s">
        <v>322</v>
      </c>
      <c r="C52" s="63">
        <v>0.3439592359162122</v>
      </c>
    </row>
    <row r="53" spans="1:4">
      <c r="A53" s="4" t="s">
        <v>1030</v>
      </c>
      <c r="B53" s="17" t="s">
        <v>1023</v>
      </c>
      <c r="C53" s="63">
        <v>0.9841485767656896</v>
      </c>
    </row>
    <row r="54" spans="1:4">
      <c r="A54" s="4" t="s">
        <v>1031</v>
      </c>
      <c r="B54" s="17" t="s">
        <v>322</v>
      </c>
      <c r="C54" s="17">
        <v>0</v>
      </c>
    </row>
    <row r="56" spans="1:4">
      <c r="A56" s="11" t="s">
        <v>1032</v>
      </c>
    </row>
    <row r="57" spans="1:4">
      <c r="A57" s="10" t="s">
        <v>1033</v>
      </c>
      <c r="B57" s="10" t="s">
        <v>1034</v>
      </c>
      <c r="C57" s="10" t="s">
        <v>596</v>
      </c>
      <c r="D57" s="10" t="s">
        <v>1035</v>
      </c>
    </row>
    <row r="58" spans="1:4">
      <c r="A58" s="4" t="s">
        <v>1036</v>
      </c>
      <c r="B58" s="18">
        <v>0.1671707551194683</v>
      </c>
      <c r="C58" s="58">
        <v>8944.42710003526</v>
      </c>
      <c r="D58" s="58">
        <v>210.5626488861872</v>
      </c>
    </row>
    <row r="59" spans="1:4">
      <c r="A59" s="4" t="s">
        <v>1037</v>
      </c>
      <c r="B59" s="18">
        <v>0.01454955036884885</v>
      </c>
      <c r="C59" s="58">
        <v>8733.864451149073</v>
      </c>
      <c r="D59" s="58">
        <v>0</v>
      </c>
    </row>
    <row r="60" spans="1:4">
      <c r="A60" s="4" t="s">
        <v>1038</v>
      </c>
      <c r="B60" s="18">
        <v>0.1235513416638282</v>
      </c>
      <c r="C60" s="58">
        <v>8885.450996452631</v>
      </c>
      <c r="D60" s="58">
        <v>151.5865453035585</v>
      </c>
    </row>
    <row r="62" spans="1:4">
      <c r="A62" s="11" t="s">
        <v>1039</v>
      </c>
    </row>
    <row r="63" spans="1:4">
      <c r="A63" s="10" t="s">
        <v>2</v>
      </c>
      <c r="B63" s="10" t="s">
        <v>3</v>
      </c>
      <c r="C63" s="10" t="s">
        <v>596</v>
      </c>
      <c r="D63" s="10" t="s">
        <v>1035</v>
      </c>
    </row>
    <row r="64" spans="1:4">
      <c r="A64" s="4" t="s">
        <v>1040</v>
      </c>
      <c r="B64" s="62">
        <v>8.484</v>
      </c>
      <c r="C64" s="58" t="s">
        <v>695</v>
      </c>
      <c r="D64" s="58" t="s">
        <v>695</v>
      </c>
    </row>
    <row r="65" spans="1:7">
      <c r="A65" s="4" t="s">
        <v>1041</v>
      </c>
      <c r="B65" s="62">
        <v>8.484</v>
      </c>
      <c r="C65" s="58">
        <v>8733.55420464389</v>
      </c>
      <c r="D65" s="58">
        <v>-0.3102465051831901</v>
      </c>
    </row>
    <row r="66" spans="1:7">
      <c r="A66" s="4" t="s">
        <v>1042</v>
      </c>
      <c r="B66" s="62">
        <v>0</v>
      </c>
      <c r="C66" s="58" t="s">
        <v>695</v>
      </c>
      <c r="D66" s="58" t="s">
        <v>695</v>
      </c>
    </row>
    <row r="67" spans="1:7">
      <c r="A67" s="4" t="s">
        <v>1043</v>
      </c>
      <c r="B67" s="18">
        <v>0</v>
      </c>
      <c r="C67" s="58">
        <v>8733.864451149073</v>
      </c>
      <c r="D67" s="58">
        <v>0</v>
      </c>
    </row>
    <row r="68" spans="1:7">
      <c r="A68" s="4" t="s">
        <v>1044</v>
      </c>
      <c r="B68" s="63">
        <v>0.5888853737157016</v>
      </c>
      <c r="C68" s="58">
        <v>8733.864451149073</v>
      </c>
      <c r="D68" s="58">
        <v>0</v>
      </c>
    </row>
    <row r="70" spans="1:7">
      <c r="A70" s="11" t="s">
        <v>1045</v>
      </c>
    </row>
    <row r="71" spans="1:7">
      <c r="A71" s="10" t="s">
        <v>1046</v>
      </c>
      <c r="B71" s="10" t="s">
        <v>1047</v>
      </c>
      <c r="C71" s="10" t="s">
        <v>2</v>
      </c>
      <c r="D71" s="10" t="s">
        <v>1048</v>
      </c>
      <c r="F71" s="10" t="s">
        <v>1049</v>
      </c>
      <c r="G71" s="10" t="s">
        <v>1050</v>
      </c>
    </row>
    <row r="72" spans="1:7">
      <c r="A72" s="17" t="s">
        <v>1051</v>
      </c>
      <c r="B72" s="7" t="s">
        <v>1052</v>
      </c>
      <c r="C72" s="4" t="s">
        <v>1053</v>
      </c>
      <c r="D72" s="4" t="s">
        <v>1054</v>
      </c>
      <c r="F72" s="58" t="s">
        <v>695</v>
      </c>
      <c r="G72" s="18" t="s">
        <v>695</v>
      </c>
    </row>
    <row r="73" spans="1:7">
      <c r="A73" s="17" t="s">
        <v>1055</v>
      </c>
      <c r="B73" s="7" t="s">
        <v>1056</v>
      </c>
      <c r="C73" s="4" t="s">
        <v>1057</v>
      </c>
      <c r="D73" s="4" t="s">
        <v>1058</v>
      </c>
      <c r="F73" s="58" t="s">
        <v>695</v>
      </c>
      <c r="G73" s="18" t="s">
        <v>695</v>
      </c>
    </row>
    <row r="74" spans="1:7">
      <c r="A74" s="17" t="s">
        <v>1059</v>
      </c>
      <c r="B74" s="7" t="s">
        <v>1060</v>
      </c>
      <c r="C74" s="4" t="s">
        <v>1061</v>
      </c>
      <c r="D74" s="4" t="s">
        <v>1062</v>
      </c>
      <c r="F74" s="58">
        <v>-1044.130883214829</v>
      </c>
      <c r="G74" s="18">
        <v>-0.1195497009433731</v>
      </c>
    </row>
    <row r="75" spans="1:7">
      <c r="A75" s="17" t="s">
        <v>1063</v>
      </c>
      <c r="B75" s="7" t="s">
        <v>1052</v>
      </c>
      <c r="C75" s="4" t="s">
        <v>1064</v>
      </c>
      <c r="D75" s="4" t="s">
        <v>1065</v>
      </c>
      <c r="F75" s="58">
        <v>-1450.815634917242</v>
      </c>
      <c r="G75" s="18">
        <v>-0.1661138254471496</v>
      </c>
    </row>
    <row r="76" spans="1:7">
      <c r="A76" s="17" t="s">
        <v>1066</v>
      </c>
      <c r="B76" s="7" t="s">
        <v>1052</v>
      </c>
      <c r="C76" s="4" t="s">
        <v>1067</v>
      </c>
      <c r="D76" s="4" t="s">
        <v>1068</v>
      </c>
      <c r="F76" s="58">
        <v>-949.6088220882939</v>
      </c>
      <c r="G76" s="18">
        <v>-0.10872722234238</v>
      </c>
    </row>
    <row r="77" spans="1:7">
      <c r="A77" s="17" t="s">
        <v>252</v>
      </c>
      <c r="B77" s="7" t="s">
        <v>1069</v>
      </c>
      <c r="C77" s="4" t="s">
        <v>1070</v>
      </c>
      <c r="D77" s="4" t="s">
        <v>1071</v>
      </c>
      <c r="F77" s="58">
        <v>210.5626488861872</v>
      </c>
      <c r="G77" s="18">
        <v>0.02410876079700143</v>
      </c>
    </row>
    <row r="78" spans="1:7">
      <c r="A78" s="17" t="s">
        <v>254</v>
      </c>
      <c r="B78" s="7" t="s">
        <v>1072</v>
      </c>
      <c r="C78" s="4" t="s">
        <v>1073</v>
      </c>
      <c r="D78" s="4" t="s">
        <v>1074</v>
      </c>
      <c r="F78" s="58">
        <v>-174.180570166578</v>
      </c>
      <c r="G78" s="18">
        <v>-0.01994312725378534</v>
      </c>
    </row>
    <row r="79" spans="1:7">
      <c r="A79" s="17" t="s">
        <v>256</v>
      </c>
      <c r="B79" s="7" t="s">
        <v>1075</v>
      </c>
      <c r="C79" s="4" t="s">
        <v>1076</v>
      </c>
      <c r="D79" s="4" t="s">
        <v>1077</v>
      </c>
      <c r="F79" s="58">
        <v>-63.58306853807153</v>
      </c>
      <c r="G79" s="18">
        <v>-0.00728006129402503</v>
      </c>
    </row>
    <row r="80" spans="1:7">
      <c r="A80" s="17" t="s">
        <v>258</v>
      </c>
      <c r="B80" s="7" t="s">
        <v>1078</v>
      </c>
      <c r="C80" s="4" t="s">
        <v>1079</v>
      </c>
      <c r="D80" s="4" t="s">
        <v>1080</v>
      </c>
      <c r="F80" s="58">
        <v>33.64209251420289</v>
      </c>
      <c r="G80" s="18">
        <v>0.003851913743609423</v>
      </c>
    </row>
    <row r="81" spans="1:7">
      <c r="A81" s="17" t="s">
        <v>260</v>
      </c>
      <c r="B81" s="7" t="s">
        <v>1081</v>
      </c>
      <c r="C81" s="4" t="s">
        <v>1082</v>
      </c>
      <c r="D81" s="4" t="s">
        <v>1083</v>
      </c>
      <c r="F81" s="58">
        <v>-17.37130866828738</v>
      </c>
      <c r="G81" s="18">
        <v>-0.001988960186576049</v>
      </c>
    </row>
    <row r="82" spans="1:7">
      <c r="A82" s="17" t="s">
        <v>262</v>
      </c>
      <c r="B82" s="7" t="s">
        <v>1081</v>
      </c>
      <c r="C82" s="4" t="s">
        <v>1084</v>
      </c>
      <c r="D82" s="4" t="s">
        <v>1085</v>
      </c>
      <c r="F82" s="58">
        <v>7.106185666556485</v>
      </c>
      <c r="G82" s="18">
        <v>0.0008136359003856028</v>
      </c>
    </row>
    <row r="83" spans="1:7">
      <c r="A83" s="17" t="s">
        <v>839</v>
      </c>
      <c r="B83" s="7" t="s">
        <v>1075</v>
      </c>
      <c r="C83" s="4" t="s">
        <v>1086</v>
      </c>
      <c r="D83" s="4" t="s">
        <v>1087</v>
      </c>
      <c r="F83" s="58">
        <v>5.00898388254609</v>
      </c>
      <c r="G83" s="18">
        <v>0.0005735128946141455</v>
      </c>
    </row>
    <row r="84" spans="1:7">
      <c r="A84" s="17" t="s">
        <v>841</v>
      </c>
      <c r="B84" s="7" t="s">
        <v>1088</v>
      </c>
      <c r="C84" s="4" t="s">
        <v>1089</v>
      </c>
      <c r="D84" s="4" t="s">
        <v>1090</v>
      </c>
      <c r="F84" s="58">
        <v>3.713878922979347</v>
      </c>
      <c r="G84" s="18">
        <v>0.0004252274515768023</v>
      </c>
    </row>
    <row r="85" spans="1:7">
      <c r="A85" s="17" t="s">
        <v>843</v>
      </c>
      <c r="B85" s="7" t="s">
        <v>1088</v>
      </c>
      <c r="C85" s="4" t="s">
        <v>1091</v>
      </c>
      <c r="D85" s="4" t="s">
        <v>1092</v>
      </c>
      <c r="F85" s="58">
        <v>3.470542958279111</v>
      </c>
      <c r="G85" s="18">
        <v>0.0003973662492348972</v>
      </c>
    </row>
    <row r="86" spans="1:7">
      <c r="A86" s="17" t="s">
        <v>845</v>
      </c>
      <c r="B86" s="7" t="s">
        <v>1081</v>
      </c>
      <c r="C86" s="4" t="s">
        <v>1093</v>
      </c>
      <c r="D86" s="4" t="s">
        <v>1094</v>
      </c>
      <c r="F86" s="58">
        <v>-2.111033840203163</v>
      </c>
      <c r="G86" s="18">
        <v>-0.0002417067326852576</v>
      </c>
    </row>
    <row r="87" spans="1:7">
      <c r="A87" s="17" t="s">
        <v>847</v>
      </c>
      <c r="B87" s="7" t="s">
        <v>526</v>
      </c>
      <c r="C87" s="4" t="s">
        <v>1095</v>
      </c>
      <c r="D87" s="4" t="s">
        <v>1096</v>
      </c>
      <c r="F87" s="58">
        <v>-0.435675711980366</v>
      </c>
      <c r="G87" s="18">
        <v>-4.988349824035181E-05</v>
      </c>
    </row>
    <row r="88" spans="1:7">
      <c r="A88" s="17" t="s">
        <v>849</v>
      </c>
      <c r="B88" s="7" t="s">
        <v>1097</v>
      </c>
      <c r="C88" s="4" t="s">
        <v>1098</v>
      </c>
      <c r="D88" s="4" t="s">
        <v>1099</v>
      </c>
      <c r="F88" s="58">
        <v>-0.3102465051831901</v>
      </c>
      <c r="G88" s="18">
        <v>-3.552224870428032E-05</v>
      </c>
    </row>
    <row r="89" spans="1:7">
      <c r="A89" s="17" t="s">
        <v>851</v>
      </c>
      <c r="B89" s="7" t="s">
        <v>598</v>
      </c>
      <c r="C89" s="4" t="s">
        <v>1100</v>
      </c>
      <c r="D89" s="4" t="s">
        <v>1101</v>
      </c>
      <c r="F89" s="58">
        <v>0.286985117394579</v>
      </c>
      <c r="G89" s="18">
        <v>3.285889299058468E-05</v>
      </c>
    </row>
    <row r="90" spans="1:7">
      <c r="A90" s="17" t="s">
        <v>853</v>
      </c>
      <c r="B90" s="7" t="s">
        <v>1102</v>
      </c>
      <c r="C90" s="4" t="s">
        <v>1103</v>
      </c>
      <c r="D90" s="4" t="s">
        <v>1104</v>
      </c>
      <c r="F90" s="58">
        <v>0.2332683255554002</v>
      </c>
      <c r="G90" s="18">
        <v>2.67084893359789E-05</v>
      </c>
    </row>
    <row r="91" spans="1:7">
      <c r="A91" s="9" t="s">
        <v>1105</v>
      </c>
      <c r="G91" s="18">
        <v>0.9653924657015837</v>
      </c>
    </row>
    <row r="92" spans="1:7">
      <c r="A92" s="11" t="s">
        <v>1106</v>
      </c>
    </row>
    <row r="93" spans="1:7">
      <c r="B93" s="7" t="s">
        <v>1107</v>
      </c>
      <c r="C93" s="4" t="s">
        <v>126</v>
      </c>
      <c r="D93" s="4" t="s">
        <v>1108</v>
      </c>
    </row>
    <row r="94" spans="1:7">
      <c r="B94" s="7" t="s">
        <v>1109</v>
      </c>
      <c r="C94" s="4" t="s">
        <v>287</v>
      </c>
      <c r="D94" s="4" t="s">
        <v>1110</v>
      </c>
    </row>
    <row r="95" spans="1:7">
      <c r="B95" s="7" t="s">
        <v>1109</v>
      </c>
      <c r="C95" s="4" t="s">
        <v>290</v>
      </c>
      <c r="D95" s="4" t="s">
        <v>1110</v>
      </c>
    </row>
    <row r="96" spans="1:7">
      <c r="B96" s="7" t="s">
        <v>1109</v>
      </c>
      <c r="C96" s="4" t="s">
        <v>292</v>
      </c>
      <c r="D96" s="4" t="s">
        <v>1111</v>
      </c>
    </row>
    <row r="97" spans="2:4">
      <c r="B97" s="7" t="s">
        <v>1109</v>
      </c>
      <c r="C97" s="4" t="s">
        <v>293</v>
      </c>
      <c r="D97" s="4" t="s">
        <v>1110</v>
      </c>
    </row>
    <row r="98" spans="2:4">
      <c r="B98" s="7" t="s">
        <v>1109</v>
      </c>
      <c r="C98" s="4" t="s">
        <v>294</v>
      </c>
      <c r="D98" s="4" t="s">
        <v>1110</v>
      </c>
    </row>
    <row r="99" spans="2:4">
      <c r="B99" s="7" t="s">
        <v>1109</v>
      </c>
      <c r="C99" s="4" t="s">
        <v>295</v>
      </c>
      <c r="D99" s="4" t="s">
        <v>1110</v>
      </c>
    </row>
    <row r="100" spans="2:4">
      <c r="B100" s="7" t="s">
        <v>1060</v>
      </c>
      <c r="C100" s="4" t="s">
        <v>1112</v>
      </c>
      <c r="D100" s="4" t="s">
        <v>1113</v>
      </c>
    </row>
    <row r="101" spans="2:4">
      <c r="B101" s="7" t="s">
        <v>1060</v>
      </c>
      <c r="C101" s="4" t="s">
        <v>1114</v>
      </c>
      <c r="D101" s="4" t="s">
        <v>1115</v>
      </c>
    </row>
    <row r="102" spans="2:4">
      <c r="B102" s="7" t="s">
        <v>1116</v>
      </c>
      <c r="C102" s="4" t="s">
        <v>1117</v>
      </c>
      <c r="D102" s="4" t="s">
        <v>1118</v>
      </c>
    </row>
    <row r="103" spans="2:4">
      <c r="B103" s="7" t="s">
        <v>1069</v>
      </c>
      <c r="C103" s="4" t="s">
        <v>1070</v>
      </c>
      <c r="D103" s="4" t="s">
        <v>1119</v>
      </c>
    </row>
    <row r="104" spans="2:4">
      <c r="B104" s="7" t="s">
        <v>1069</v>
      </c>
      <c r="C104" s="4" t="s">
        <v>1070</v>
      </c>
      <c r="D104" s="4" t="s">
        <v>1120</v>
      </c>
    </row>
    <row r="105" spans="2:4">
      <c r="B105" s="7" t="s">
        <v>1069</v>
      </c>
      <c r="C105" s="4" t="s">
        <v>1070</v>
      </c>
      <c r="D105" s="4" t="s">
        <v>1121</v>
      </c>
    </row>
    <row r="106" spans="2:4">
      <c r="B106" s="7" t="s">
        <v>1069</v>
      </c>
      <c r="C106" s="4" t="s">
        <v>1070</v>
      </c>
      <c r="D106" s="4" t="s">
        <v>1122</v>
      </c>
    </row>
    <row r="107" spans="2:4">
      <c r="B107" s="7" t="s">
        <v>1069</v>
      </c>
      <c r="C107" s="4" t="s">
        <v>1070</v>
      </c>
      <c r="D107" s="4" t="s">
        <v>1123</v>
      </c>
    </row>
    <row r="108" spans="2:4">
      <c r="B108" s="7" t="s">
        <v>1124</v>
      </c>
      <c r="C108" s="4" t="s">
        <v>1125</v>
      </c>
      <c r="D108" s="4" t="s">
        <v>1126</v>
      </c>
    </row>
    <row r="109" spans="2:4">
      <c r="B109" s="7" t="s">
        <v>1124</v>
      </c>
      <c r="C109" s="4" t="s">
        <v>1127</v>
      </c>
      <c r="D109" s="4" t="s">
        <v>1126</v>
      </c>
    </row>
    <row r="110" spans="2:4">
      <c r="B110" s="7" t="s">
        <v>1124</v>
      </c>
      <c r="C110" s="4" t="s">
        <v>1128</v>
      </c>
      <c r="D110" s="4" t="s">
        <v>1126</v>
      </c>
    </row>
    <row r="111" spans="2:4">
      <c r="B111" s="7" t="s">
        <v>1124</v>
      </c>
      <c r="C111" s="4" t="s">
        <v>1129</v>
      </c>
      <c r="D111" s="4" t="s">
        <v>1126</v>
      </c>
    </row>
    <row r="112" spans="2:4">
      <c r="B112" s="7" t="s">
        <v>1124</v>
      </c>
      <c r="C112" s="4" t="s">
        <v>1130</v>
      </c>
      <c r="D112" s="4" t="s">
        <v>1126</v>
      </c>
    </row>
    <row r="113" spans="1:4">
      <c r="B113" s="7" t="s">
        <v>1124</v>
      </c>
      <c r="C113" s="4" t="s">
        <v>1131</v>
      </c>
      <c r="D113" s="4" t="s">
        <v>1126</v>
      </c>
    </row>
    <row r="114" spans="1:4">
      <c r="B114" s="7" t="s">
        <v>1132</v>
      </c>
      <c r="C114" s="4" t="s">
        <v>1133</v>
      </c>
      <c r="D114" s="4" t="s">
        <v>1134</v>
      </c>
    </row>
    <row r="115" spans="1:4">
      <c r="B115" s="7" t="s">
        <v>1132</v>
      </c>
      <c r="C115" s="4" t="s">
        <v>1135</v>
      </c>
      <c r="D115" s="4" t="s">
        <v>1134</v>
      </c>
    </row>
    <row r="116" spans="1:4">
      <c r="B116" s="7" t="s">
        <v>1136</v>
      </c>
      <c r="C116" s="4" t="s">
        <v>1137</v>
      </c>
      <c r="D116" s="4" t="s">
        <v>1138</v>
      </c>
    </row>
    <row r="117" spans="1:4">
      <c r="B117" s="7" t="s">
        <v>1088</v>
      </c>
      <c r="C117" s="4" t="s">
        <v>1139</v>
      </c>
      <c r="D117" s="4" t="s">
        <v>1140</v>
      </c>
    </row>
    <row r="119" spans="1:4">
      <c r="A119" s="11" t="s">
        <v>1141</v>
      </c>
    </row>
    <row r="120" spans="1:4">
      <c r="A120" s="7" t="s">
        <v>1142</v>
      </c>
      <c r="B120" s="17" t="s">
        <v>1143</v>
      </c>
      <c r="C120" s="9" t="s">
        <v>1144</v>
      </c>
    </row>
    <row r="122" spans="1:4">
      <c r="A122" s="11" t="s">
        <v>1145</v>
      </c>
    </row>
    <row r="123" spans="1:4">
      <c r="A123" s="7" t="s">
        <v>1146</v>
      </c>
      <c r="B123" s="58">
        <v>8733.864451149073</v>
      </c>
    </row>
    <row r="124" spans="1:4">
      <c r="A124" s="7" t="s">
        <v>1147</v>
      </c>
      <c r="B124" s="58">
        <v>8559.683880982495</v>
      </c>
    </row>
    <row r="125" spans="1:4">
      <c r="A125" s="7" t="s">
        <v>1148</v>
      </c>
      <c r="B125" s="18">
        <v>0.01454955036884885</v>
      </c>
    </row>
    <row r="126" spans="1:4">
      <c r="A126" s="7" t="s">
        <v>1149</v>
      </c>
      <c r="B126" s="18">
        <v>0.1235513416638282</v>
      </c>
    </row>
    <row r="127" spans="1:4">
      <c r="A127" s="7" t="s">
        <v>1150</v>
      </c>
      <c r="B127" s="18">
        <v>0.05450089564748967</v>
      </c>
    </row>
    <row r="128" spans="1:4">
      <c r="A128" s="7" t="s">
        <v>1151</v>
      </c>
      <c r="B128" s="18">
        <v>0.0144201916009995</v>
      </c>
    </row>
    <row r="129" spans="1:4">
      <c r="A129" s="7" t="s">
        <v>1152</v>
      </c>
      <c r="B129" s="17" t="s">
        <v>1153</v>
      </c>
    </row>
    <row r="131" spans="1:4">
      <c r="A131" s="11" t="s">
        <v>1154</v>
      </c>
    </row>
    <row r="132" spans="1:4">
      <c r="A132" s="10" t="s">
        <v>338</v>
      </c>
      <c r="B132" s="10" t="s">
        <v>1155</v>
      </c>
      <c r="C132" s="10" t="s">
        <v>5</v>
      </c>
      <c r="D132" s="10" t="s">
        <v>1156</v>
      </c>
    </row>
    <row r="133" spans="1:4">
      <c r="A133" s="7" t="s">
        <v>1157</v>
      </c>
      <c r="B133" s="62">
        <v>129.868</v>
      </c>
      <c r="C133" s="4" t="s">
        <v>1158</v>
      </c>
      <c r="D133" s="7" t="s">
        <v>235</v>
      </c>
    </row>
    <row r="134" spans="1:4">
      <c r="A134" s="7" t="s">
        <v>1159</v>
      </c>
      <c r="B134" s="62">
        <v>114.227</v>
      </c>
      <c r="C134" s="4" t="s">
        <v>1158</v>
      </c>
      <c r="D134" s="7" t="s">
        <v>235</v>
      </c>
    </row>
    <row r="135" spans="1:4">
      <c r="A135" s="7" t="s">
        <v>418</v>
      </c>
      <c r="B135" s="62">
        <v>103.232</v>
      </c>
      <c r="C135" s="4" t="s">
        <v>1158</v>
      </c>
      <c r="D135" s="7" t="s">
        <v>235</v>
      </c>
    </row>
    <row r="136" spans="1:4">
      <c r="A136" s="7" t="s">
        <v>419</v>
      </c>
      <c r="B136" s="62">
        <v>93.911</v>
      </c>
      <c r="C136" s="4" t="s">
        <v>1158</v>
      </c>
      <c r="D136" s="7" t="s">
        <v>235</v>
      </c>
    </row>
    <row r="137" spans="1:4">
      <c r="A137" s="7" t="s">
        <v>420</v>
      </c>
      <c r="B137" s="62">
        <v>116.591</v>
      </c>
      <c r="C137" s="4" t="s">
        <v>1158</v>
      </c>
      <c r="D137" s="7" t="s">
        <v>235</v>
      </c>
    </row>
    <row r="138" spans="1:4">
      <c r="A138" s="7" t="s">
        <v>1160</v>
      </c>
      <c r="B138" s="62">
        <v>50.33</v>
      </c>
      <c r="C138" s="4" t="s">
        <v>1158</v>
      </c>
      <c r="D138" s="7" t="s">
        <v>235</v>
      </c>
    </row>
    <row r="139" spans="1:4">
      <c r="A139" s="7" t="s">
        <v>1161</v>
      </c>
      <c r="B139" s="62">
        <v>70.66</v>
      </c>
      <c r="C139" s="4" t="s">
        <v>1158</v>
      </c>
      <c r="D139" s="7" t="s">
        <v>235</v>
      </c>
    </row>
    <row r="141" spans="1:4">
      <c r="A141" s="11" t="s">
        <v>1162</v>
      </c>
    </row>
    <row r="142" spans="1:4">
      <c r="A142" s="7" t="s">
        <v>1163</v>
      </c>
      <c r="B142" s="62">
        <v>2729.903249529163</v>
      </c>
    </row>
    <row r="143" spans="1:4">
      <c r="A143" s="7" t="s">
        <v>1164</v>
      </c>
      <c r="B143" s="62">
        <v>142764</v>
      </c>
    </row>
    <row r="144" spans="1:4">
      <c r="A144" s="7" t="s">
        <v>1114</v>
      </c>
      <c r="B144" s="62">
        <v>29988</v>
      </c>
    </row>
    <row r="145" spans="1:4">
      <c r="A145" s="7" t="s">
        <v>1165</v>
      </c>
      <c r="B145" s="62">
        <v>70894.005697</v>
      </c>
    </row>
    <row r="146" spans="1:4">
      <c r="A146" s="7" t="s">
        <v>637</v>
      </c>
      <c r="B146" s="62">
        <v>238836.2310795292</v>
      </c>
    </row>
    <row r="147" spans="1:4">
      <c r="A147" s="7" t="s">
        <v>1166</v>
      </c>
      <c r="B147" s="18">
        <v>0.4184239533018049</v>
      </c>
    </row>
    <row r="148" spans="1:4">
      <c r="A148" s="7" t="s">
        <v>1167</v>
      </c>
      <c r="B148" s="18">
        <v>0.4560172072187092</v>
      </c>
    </row>
    <row r="149" spans="1:4">
      <c r="A149" s="7" t="s">
        <v>1168</v>
      </c>
      <c r="B149" s="58">
        <v>8733.864451149073</v>
      </c>
    </row>
    <row r="150" spans="1:4">
      <c r="A150" s="7" t="s">
        <v>1169</v>
      </c>
      <c r="B150" s="58">
        <v>7689.733567934244</v>
      </c>
    </row>
    <row r="153" spans="1:4">
      <c r="A153" s="11" t="s">
        <v>1170</v>
      </c>
    </row>
    <row r="154" spans="1:4">
      <c r="A154" s="7" t="s">
        <v>1171</v>
      </c>
      <c r="B154" s="18">
        <v>-1.013970453289706</v>
      </c>
    </row>
    <row r="155" spans="1:4">
      <c r="A155" s="7" t="s">
        <v>1172</v>
      </c>
      <c r="B155" s="18">
        <v>0.01454955036884885</v>
      </c>
    </row>
    <row r="156" spans="1:4">
      <c r="A156" s="7" t="s">
        <v>1173</v>
      </c>
      <c r="B156" s="58">
        <v>7655.715082908794</v>
      </c>
    </row>
    <row r="157" spans="1:4">
      <c r="A157" s="7" t="s">
        <v>1174</v>
      </c>
      <c r="B157" s="17" t="s">
        <v>1175</v>
      </c>
    </row>
    <row r="159" spans="1:4">
      <c r="A159" s="11" t="s">
        <v>1176</v>
      </c>
    </row>
    <row r="160" spans="1:4">
      <c r="A160" s="10" t="s">
        <v>338</v>
      </c>
      <c r="B160" s="10" t="s">
        <v>399</v>
      </c>
      <c r="C160" s="10" t="s">
        <v>1177</v>
      </c>
      <c r="D160" s="10" t="s">
        <v>1178</v>
      </c>
    </row>
    <row r="161" spans="1:1">
      <c r="A161" s="9" t="s">
        <v>1179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548235"/>
  </sheetPr>
  <dimension ref="A1:H10"/>
  <sheetViews>
    <sheetView showGridLines="0" workbookViewId="0"/>
  </sheetViews>
  <sheetFormatPr defaultRowHeight="15"/>
  <cols>
    <col min="1" max="1" width="6.7109375" customWidth="1"/>
    <col min="2" max="2" width="30.7109375" customWidth="1"/>
    <col min="3" max="3" width="22.7109375" customWidth="1"/>
    <col min="4" max="5" width="18.7109375" customWidth="1"/>
    <col min="6" max="6" width="40.7109375" customWidth="1"/>
    <col min="7" max="7" width="8.7109375" customWidth="1"/>
    <col min="8" max="8" width="20.7109375" customWidth="1"/>
  </cols>
  <sheetData>
    <row r="1" spans="1:8">
      <c r="A1" s="1" t="s">
        <v>1180</v>
      </c>
    </row>
    <row r="2" spans="1:8">
      <c r="A2" s="9" t="s">
        <v>1181</v>
      </c>
    </row>
    <row r="4" spans="1:8">
      <c r="A4" s="10" t="s">
        <v>822</v>
      </c>
      <c r="B4" s="10" t="s">
        <v>2</v>
      </c>
      <c r="C4" s="10" t="s">
        <v>1182</v>
      </c>
      <c r="D4" s="10" t="s">
        <v>1183</v>
      </c>
      <c r="E4" s="10" t="s">
        <v>1184</v>
      </c>
      <c r="F4" s="10" t="s">
        <v>705</v>
      </c>
      <c r="G4" s="10" t="s">
        <v>1185</v>
      </c>
      <c r="H4" s="10" t="s">
        <v>1186</v>
      </c>
    </row>
    <row r="5" spans="1:8">
      <c r="A5" s="7" t="s">
        <v>242</v>
      </c>
      <c r="B5" s="4" t="s">
        <v>1061</v>
      </c>
      <c r="C5" s="7" t="s">
        <v>1187</v>
      </c>
      <c r="D5" s="7" t="s">
        <v>1188</v>
      </c>
      <c r="E5" s="7" t="s">
        <v>1189</v>
      </c>
      <c r="F5" s="4" t="s">
        <v>1190</v>
      </c>
      <c r="G5" s="7" t="s">
        <v>1191</v>
      </c>
      <c r="H5" s="7" t="s">
        <v>1192</v>
      </c>
    </row>
    <row r="8" spans="1:8">
      <c r="A8" s="11" t="s">
        <v>1193</v>
      </c>
    </row>
    <row r="10" spans="1:8">
      <c r="A10" s="9" t="s">
        <v>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288</vt:i4>
      </vt:variant>
    </vt:vector>
  </HeadingPairs>
  <TitlesOfParts>
    <vt:vector size="305" baseType="lpstr">
      <vt:lpstr>Cover</vt:lpstr>
      <vt:lpstr>Guide</vt:lpstr>
      <vt:lpstr>Inputs</vt:lpstr>
      <vt:lpstr>FS_Hist</vt:lpstr>
      <vt:lpstr>Forecast</vt:lpstr>
      <vt:lpstr>WACC</vt:lpstr>
      <vt:lpstr>DCF</vt:lpstr>
      <vt:lpstr>Bridge</vt:lpstr>
      <vt:lpstr>Peers</vt:lpstr>
      <vt:lpstr>Premium</vt:lpstr>
      <vt:lpstr>Scenarios</vt:lpstr>
      <vt:lpstr>Scen_Calc</vt:lpstr>
      <vt:lpstr>Football</vt:lpstr>
      <vt:lpstr>Convergence</vt:lpstr>
      <vt:lpstr>Checks</vt:lpstr>
      <vt:lpstr>Diagnostics</vt:lpstr>
      <vt:lpstr>Judgements</vt:lpstr>
      <vt:lpstr>AssocBook</vt:lpstr>
      <vt:lpstr>AssocClose</vt:lpstr>
      <vt:lpstr>AssocDiscount</vt:lpstr>
      <vt:lpstr>AssocLines</vt:lpstr>
      <vt:lpstr>AssocReplaced</vt:lpstr>
      <vt:lpstr>AssocShares</vt:lpstr>
      <vt:lpstr>AssocValue</vt:lpstr>
      <vt:lpstr>BetaL</vt:lpstr>
      <vt:lpstr>BetaPubN</vt:lpstr>
      <vt:lpstr>BetaPubR2</vt:lpstr>
      <vt:lpstr>BetaPubU</vt:lpstr>
      <vt:lpstr>BetaR2Median</vt:lpstr>
      <vt:lpstr>BetaR2Warn</vt:lpstr>
      <vt:lpstr>BetaU</vt:lpstr>
      <vt:lpstr>BetaWarn</vt:lpstr>
      <vt:lpstr>Block_q1</vt:lpstr>
      <vt:lpstr>Block_q2</vt:lpstr>
      <vt:lpstr>Block_q3</vt:lpstr>
      <vt:lpstr>BlumeC</vt:lpstr>
      <vt:lpstr>BlumeW</vt:lpstr>
      <vt:lpstr>BorrowAmt</vt:lpstr>
      <vt:lpstr>BorrowRate</vt:lpstr>
      <vt:lpstr>BridgeAdj</vt:lpstr>
      <vt:lpstr>BsAmt</vt:lpstr>
      <vt:lpstr>BsClass</vt:lpstr>
      <vt:lpstr>BsName</vt:lpstr>
      <vt:lpstr>CAGR</vt:lpstr>
      <vt:lpstr>CapexRatio</vt:lpstr>
      <vt:lpstr>CfStart</vt:lpstr>
      <vt:lpstr>CheckTable</vt:lpstr>
      <vt:lpstr>ClipHi</vt:lpstr>
      <vt:lpstr>ClipLo</vt:lpstr>
      <vt:lpstr>Close</vt:lpstr>
      <vt:lpstr>COGSR</vt:lpstr>
      <vt:lpstr>CommonIssued</vt:lpstr>
      <vt:lpstr>CommonTreasury</vt:lpstr>
      <vt:lpstr>ConvEngine</vt:lpstr>
      <vt:lpstr>ConvLive</vt:lpstr>
      <vt:lpstr>ConvShare</vt:lpstr>
      <vt:lpstr>DaysYr</vt:lpstr>
      <vt:lpstr>DE_Target</vt:lpstr>
      <vt:lpstr>DiagCandTable</vt:lpstr>
      <vt:lpstr>DiagCompTable</vt:lpstr>
      <vt:lpstr>DiagDcf</vt:lpstr>
      <vt:lpstr>DiagDcfEngine</vt:lpstr>
      <vt:lpstr>DiagDnaTable</vt:lpstr>
      <vt:lpstr>DiagFlagTable</vt:lpstr>
      <vt:lpstr>DiagGuardTable</vt:lpstr>
      <vt:lpstr>DiagHeadline</vt:lpstr>
      <vt:lpstr>DiagLight</vt:lpstr>
      <vt:lpstr>DiagLightCheck</vt:lpstr>
      <vt:lpstr>DiagLightEngine</vt:lpstr>
      <vt:lpstr>DiagLightMkt</vt:lpstr>
      <vt:lpstr>DiagLightPeer</vt:lpstr>
      <vt:lpstr>DiagMistagTable</vt:lpstr>
      <vt:lpstr>DiagMktRatio</vt:lpstr>
      <vt:lpstr>DiagOtherTable</vt:lpstr>
      <vt:lpstr>DiagPeerBasis</vt:lpstr>
      <vt:lpstr>DiagPeerMed</vt:lpstr>
      <vt:lpstr>DiagPeerN</vt:lpstr>
      <vt:lpstr>DiagPeerValid</vt:lpstr>
      <vt:lpstr>DiagPrice</vt:lpstr>
      <vt:lpstr>DiagQ25</vt:lpstr>
      <vt:lpstr>DiagQ75</vt:lpstr>
      <vt:lpstr>DiagRankTable</vt:lpstr>
      <vt:lpstr>DiagRevTable</vt:lpstr>
      <vt:lpstr>DiagSensTable</vt:lpstr>
      <vt:lpstr>DiagSotpDisc30</vt:lpstr>
      <vt:lpstr>DiagSotpDisc50</vt:lpstr>
      <vt:lpstr>DiagSotpEquity</vt:lpstr>
      <vt:lpstr>DiagSotpGuard</vt:lpstr>
      <vt:lpstr>DiagSotpListed</vt:lpstr>
      <vt:lpstr>DiagSotpListedShare</vt:lpstr>
      <vt:lpstr>DiagSotpParentEV</vt:lpstr>
      <vt:lpstr>DiagSotpParentShare</vt:lpstr>
      <vt:lpstr>DiagSotpSubLines</vt:lpstr>
      <vt:lpstr>DiagSotpTable</vt:lpstr>
      <vt:lpstr>DiagSotpUnlisted</vt:lpstr>
      <vt:lpstr>DiagThMGHi</vt:lpstr>
      <vt:lpstr>DiagThMGLo</vt:lpstr>
      <vt:lpstr>DiagThMYHi</vt:lpstr>
      <vt:lpstr>DiagThMYLo</vt:lpstr>
      <vt:lpstr>DiagThPHi</vt:lpstr>
      <vt:lpstr>DiagThPLo</vt:lpstr>
      <vt:lpstr>DiagTop5Share</vt:lpstr>
      <vt:lpstr>DiagTurnLtm</vt:lpstr>
      <vt:lpstr>DiagTurnM0</vt:lpstr>
      <vt:lpstr>DiagTurnPS</vt:lpstr>
      <vt:lpstr>DiagV1Light</vt:lpstr>
      <vt:lpstr>DiagV1PS</vt:lpstr>
      <vt:lpstr>DiagV2Conv</vt:lpstr>
      <vt:lpstr>DiagV2G0</vt:lpstr>
      <vt:lpstr>DiagV2M0</vt:lpstr>
      <vt:lpstr>DiagV2PM</vt:lpstr>
      <vt:lpstr>DiagV2PS</vt:lpstr>
      <vt:lpstr>DIO</vt:lpstr>
      <vt:lpstr>DiscDate</vt:lpstr>
      <vt:lpstr>DnaH1Hi</vt:lpstr>
      <vt:lpstr>DnaH1Lo</vt:lpstr>
      <vt:lpstr>DnaRatio</vt:lpstr>
      <vt:lpstr>DnaRatioHi</vt:lpstr>
      <vt:lpstr>DnaRatioLo</vt:lpstr>
      <vt:lpstr>DPO</vt:lpstr>
      <vt:lpstr>DSO</vt:lpstr>
      <vt:lpstr>DT_C</vt:lpstr>
      <vt:lpstr>DT_C_Left</vt:lpstr>
      <vt:lpstr>DT_C_Top</vt:lpstr>
      <vt:lpstr>DT_D</vt:lpstr>
      <vt:lpstr>DT_D_Left</vt:lpstr>
      <vt:lpstr>DT_D_Top</vt:lpstr>
      <vt:lpstr>DT_G</vt:lpstr>
      <vt:lpstr>DT_G_Left</vt:lpstr>
      <vt:lpstr>DT_G_Top</vt:lpstr>
      <vt:lpstr>DT_M</vt:lpstr>
      <vt:lpstr>DT_M_Left</vt:lpstr>
      <vt:lpstr>DT_M_Top</vt:lpstr>
      <vt:lpstr>EbitEnd</vt:lpstr>
      <vt:lpstr>EqAddOn</vt:lpstr>
      <vt:lpstr>Equity</vt:lpstr>
      <vt:lpstr>EV_630</vt:lpstr>
      <vt:lpstr>EV_930</vt:lpstr>
      <vt:lpstr>EVExit_930</vt:lpstr>
      <vt:lpstr>ExitMult</vt:lpstr>
      <vt:lpstr>ExplicitEnd</vt:lpstr>
      <vt:lpstr>FadeTo</vt:lpstr>
      <vt:lpstr>FadeYears</vt:lpstr>
      <vt:lpstr>FootballTable</vt:lpstr>
      <vt:lpstr>G0_Sel</vt:lpstr>
      <vt:lpstr>G0Base</vt:lpstr>
      <vt:lpstr>GEff</vt:lpstr>
      <vt:lpstr>GLast_Sel</vt:lpstr>
      <vt:lpstr>GOvr</vt:lpstr>
      <vt:lpstr>GrowthGapMin</vt:lpstr>
      <vt:lpstr>GrowthShiftOvr</vt:lpstr>
      <vt:lpstr>GTerm_Sel</vt:lpstr>
      <vt:lpstr>GTermCfg</vt:lpstr>
      <vt:lpstr>H1Op</vt:lpstr>
      <vt:lpstr>H1Rev</vt:lpstr>
      <vt:lpstr>HistMargin</vt:lpstr>
      <vt:lpstr>ImpliedG_Exit</vt:lpstr>
      <vt:lpstr>ImpliedMultiple</vt:lpstr>
      <vt:lpstr>JudgeTable</vt:lpstr>
      <vt:lpstr>Kd_AA</vt:lpstr>
      <vt:lpstr>Kd_Actual</vt:lpstr>
      <vt:lpstr>Kd_AT</vt:lpstr>
      <vt:lpstr>Kd_BBB</vt:lpstr>
      <vt:lpstr>Kd_Pre</vt:lpstr>
      <vt:lpstr>KdActualUse</vt:lpstr>
      <vt:lpstr>KdUse</vt:lpstr>
      <vt:lpstr>Ke</vt:lpstr>
      <vt:lpstr>ListedSub</vt:lpstr>
      <vt:lpstr>M0V2</vt:lpstr>
      <vt:lpstr>Margin_Sel</vt:lpstr>
      <vt:lpstr>MarginConvAmt</vt:lpstr>
      <vt:lpstr>MarginGapMin</vt:lpstr>
      <vt:lpstr>MarginShiftOvr</vt:lpstr>
      <vt:lpstr>MarketEquity</vt:lpstr>
      <vt:lpstr>MasterCheck</vt:lpstr>
      <vt:lpstr>MidYear</vt:lpstr>
      <vt:lpstr>MnToWon</vt:lpstr>
      <vt:lpstr>MRP</vt:lpstr>
      <vt:lpstr>MRP_Eff</vt:lpstr>
      <vt:lpstr>MrpOvr</vt:lpstr>
      <vt:lpstr>NavPerShare</vt:lpstr>
      <vt:lpstr>NciShareMin</vt:lpstr>
      <vt:lpstr>NetDebt</vt:lpstr>
      <vt:lpstr>NWC_Open</vt:lpstr>
      <vt:lpstr>P5bAchTable</vt:lpstr>
      <vt:lpstr>P5bCagrTable</vt:lpstr>
      <vt:lpstr>PeerEvEbitdaMed</vt:lpstr>
      <vt:lpstr>PeerGrowthV2</vt:lpstr>
      <vt:lpstr>PeerMarginV2</vt:lpstr>
      <vt:lpstr>PeerNWarn</vt:lpstr>
      <vt:lpstr>PeerSummary</vt:lpstr>
      <vt:lpstr>PerShare</vt:lpstr>
      <vt:lpstr>PerShareExit</vt:lpstr>
      <vt:lpstr>PlanBand</vt:lpstr>
      <vt:lpstr>PlanBandH1</vt:lpstr>
      <vt:lpstr>PlanBandH2</vt:lpstr>
      <vt:lpstr>PlanBandH3</vt:lpstr>
      <vt:lpstr>PlanBandRange</vt:lpstr>
      <vt:lpstr>PlanCheck</vt:lpstr>
      <vt:lpstr>PlanFcCAGR5</vt:lpstr>
      <vt:lpstr>PlanFcCAGR</vt:lpstr>
      <vt:lpstr>PlanG26</vt:lpstr>
      <vt:lpstr>PlanGapCAGR</vt:lpstr>
      <vt:lpstr>PlanGapMargin</vt:lpstr>
      <vt:lpstr>PlanHistCAGR</vt:lpstr>
      <vt:lpstr>PlanHistMargin</vt:lpstr>
      <vt:lpstr>PlanMargin</vt:lpstr>
      <vt:lpstr>PrefIssued</vt:lpstr>
      <vt:lpstr>PrefTreasury</vt:lpstr>
      <vt:lpstr>Prem_BAN_n</vt:lpstr>
      <vt:lpstr>Prem_BAN_q25</vt:lpstr>
      <vt:lpstr>Prem_BAN_q50</vt:lpstr>
      <vt:lpstr>Prem_BAN_q75</vt:lpstr>
      <vt:lpstr>Prem_CV</vt:lpstr>
      <vt:lpstr>Prem_GapWarn</vt:lpstr>
      <vt:lpstr>Prem_Market</vt:lpstr>
      <vt:lpstr>Prem_NB_n</vt:lpstr>
      <vt:lpstr>Prem_NEI_q25</vt:lpstr>
      <vt:lpstr>Prem_NEI_q50</vt:lpstr>
      <vt:lpstr>Prem_NEI_q75</vt:lpstr>
      <vt:lpstr>Prem_Pct</vt:lpstr>
      <vt:lpstr>Prem_REG_q25</vt:lpstr>
      <vt:lpstr>Prem_REG_q50</vt:lpstr>
      <vt:lpstr>Prem_REG_q75</vt:lpstr>
      <vt:lpstr>Prem_Thr</vt:lpstr>
      <vt:lpstr>Prem_TopBand</vt:lpstr>
      <vt:lpstr>PremMethod</vt:lpstr>
      <vt:lpstr>PremN</vt:lpstr>
      <vt:lpstr>PremNWarn</vt:lpstr>
      <vt:lpstr>PremPctFixed</vt:lpstr>
      <vt:lpstr>PremQ1</vt:lpstr>
      <vt:lpstr>PremQ2</vt:lpstr>
      <vt:lpstr>PremQ3</vt:lpstr>
      <vt:lpstr>PremReason</vt:lpstr>
      <vt:lpstr>PretaxLTM</vt:lpstr>
      <vt:lpstr>Rating</vt:lpstr>
      <vt:lpstr>RatingIdx</vt:lpstr>
      <vt:lpstr>RatingScale</vt:lpstr>
      <vt:lpstr>ReverseTable</vt:lpstr>
      <vt:lpstr>RevFY_Last</vt:lpstr>
      <vt:lpstr>Rf10Diff</vt:lpstr>
      <vt:lpstr>Rf10GridPS</vt:lpstr>
      <vt:lpstr>Rf10GridWACC</vt:lpstr>
      <vt:lpstr>Rf</vt:lpstr>
      <vt:lpstr>Rf_10Y</vt:lpstr>
      <vt:lpstr>Rf_5Y</vt:lpstr>
      <vt:lpstr>RfOvr</vt:lpstr>
      <vt:lpstr>RfTenor</vt:lpstr>
      <vt:lpstr>RONIC</vt:lpstr>
      <vt:lpstr>RonicCap</vt:lpstr>
      <vt:lpstr>RonicStart</vt:lpstr>
      <vt:lpstr>ScenDiff</vt:lpstr>
      <vt:lpstr>ScenGridPS</vt:lpstr>
      <vt:lpstr>ScenGridTV</vt:lpstr>
      <vt:lpstr>ScenGridWACC</vt:lpstr>
      <vt:lpstr>ScenIdx</vt:lpstr>
      <vt:lpstr>ScenNames</vt:lpstr>
      <vt:lpstr>ScenSel</vt:lpstr>
      <vt:lpstr>ScenSelPS</vt:lpstr>
      <vt:lpstr>SegGrowthGap</vt:lpstr>
      <vt:lpstr>SegMarginGap</vt:lpstr>
      <vt:lpstr>Shares</vt:lpstr>
      <vt:lpstr>SotpBook</vt:lpstr>
      <vt:lpstr>SotpListed</vt:lpstr>
      <vt:lpstr>SotpRemainder</vt:lpstr>
      <vt:lpstr>SotpSubLines</vt:lpstr>
      <vt:lpstr>SotpUnlisted</vt:lpstr>
      <vt:lpstr>SRP_1</vt:lpstr>
      <vt:lpstr>SRP_2</vt:lpstr>
      <vt:lpstr>SRP_3</vt:lpstr>
      <vt:lpstr>SRP_Cite</vt:lpstr>
      <vt:lpstr>SRP_Eff</vt:lpstr>
      <vt:lpstr>SRP_List</vt:lpstr>
      <vt:lpstr>SRP_Sel</vt:lpstr>
      <vt:lpstr>SrpCiteTable</vt:lpstr>
      <vt:lpstr>SrpOvr</vt:lpstr>
      <vt:lpstr>Stake</vt:lpstr>
      <vt:lpstr>StructureChoice</vt:lpstr>
      <vt:lpstr>StructureRule</vt:lpstr>
      <vt:lpstr>SubBook</vt:lpstr>
      <vt:lpstr>SubClose</vt:lpstr>
      <vt:lpstr>SubDiscount</vt:lpstr>
      <vt:lpstr>SubListedDirect</vt:lpstr>
      <vt:lpstr>SubMC</vt:lpstr>
      <vt:lpstr>SubShares</vt:lpstr>
      <vt:lpstr>SubUnlisted</vt:lpstr>
      <vt:lpstr>T_Hamada</vt:lpstr>
      <vt:lpstr>T_Kd</vt:lpstr>
      <vt:lpstr>TargetMC</vt:lpstr>
      <vt:lpstr>TaxDRate</vt:lpstr>
      <vt:lpstr>TaxFrom</vt:lpstr>
      <vt:lpstr>TaxPrem</vt:lpstr>
      <vt:lpstr>TaxRate</vt:lpstr>
      <vt:lpstr>TaxTo</vt:lpstr>
      <vt:lpstr>TV_Gordon</vt:lpstr>
      <vt:lpstr>TVCross</vt:lpstr>
      <vt:lpstr>TVShare</vt:lpstr>
      <vt:lpstr>TVShare_Exit</vt:lpstr>
      <vt:lpstr>ValDate</vt:lpstr>
      <vt:lpstr>VWAP20</vt:lpstr>
      <vt:lpstr>WACC</vt:lpstr>
      <vt:lpstr>WaccCalc</vt:lpstr>
      <vt:lpstr>WaccOvr</vt:lpstr>
      <vt:lpstr>WD</vt:lpstr>
      <vt:lpstr>WOwn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솔본 valuation model (draft)</dc:title>
  <dc:subject>P4 generated model</dc:subject>
  <dc:creator/>
  <dc:description>Auto-generated draft. Not investment advice.</dc:description>
  <cp:lastModifiedBy/>
  <dcterms:created xsi:type="dcterms:W3CDTF">2026-10-23T17:02:41Z</dcterms:created>
  <dcterms:modified xsi:type="dcterms:W3CDTF">2026-10-23T17:02:41Z</dcterms:modified>
</cp:coreProperties>
</file>